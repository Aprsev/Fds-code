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top\ZJU\ACEE\fds\"/>
    </mc:Choice>
  </mc:AlternateContent>
  <xr:revisionPtr revIDLastSave="0" documentId="13_ncr:1_{289DF37A-D50B-4181-9ED3-798556314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K33" i="1" s="1"/>
  <c r="K28" i="1"/>
  <c r="K29" i="1"/>
  <c r="I9" i="1"/>
  <c r="H9" i="1"/>
  <c r="G9" i="1"/>
  <c r="E9" i="1"/>
  <c r="J32" i="1"/>
  <c r="J33" i="1" s="1"/>
  <c r="I32" i="1"/>
  <c r="I33" i="1" s="1"/>
  <c r="H32" i="1"/>
  <c r="H33" i="1" s="1"/>
  <c r="G32" i="1"/>
  <c r="G33" i="1" s="1"/>
  <c r="F32" i="1"/>
  <c r="F33" i="1" s="1"/>
  <c r="E32" i="1"/>
  <c r="E33" i="1" s="1"/>
  <c r="D32" i="1"/>
  <c r="D33" i="1" s="1"/>
  <c r="C32" i="1"/>
  <c r="C33" i="1" s="1"/>
  <c r="J28" i="1"/>
  <c r="J29" i="1" s="1"/>
  <c r="I28" i="1"/>
  <c r="I29" i="1" s="1"/>
  <c r="H28" i="1"/>
  <c r="H29" i="1" s="1"/>
  <c r="G28" i="1"/>
  <c r="G29" i="1" s="1"/>
  <c r="F28" i="1"/>
  <c r="F29" i="1" s="1"/>
  <c r="E28" i="1"/>
  <c r="E29" i="1" s="1"/>
  <c r="D28" i="1"/>
  <c r="D29" i="1" s="1"/>
  <c r="C28" i="1"/>
  <c r="C29" i="1" s="1"/>
  <c r="J20" i="1"/>
  <c r="J21" i="1" s="1"/>
  <c r="I20" i="1"/>
  <c r="I21" i="1" s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J16" i="1"/>
  <c r="J17" i="1" s="1"/>
  <c r="I16" i="1"/>
  <c r="I17" i="1" s="1"/>
  <c r="H16" i="1"/>
  <c r="H17" i="1" s="1"/>
  <c r="G16" i="1"/>
  <c r="G17" i="1" s="1"/>
  <c r="F16" i="1"/>
  <c r="F17" i="1" s="1"/>
  <c r="E16" i="1"/>
  <c r="E17" i="1" s="1"/>
  <c r="D16" i="1"/>
  <c r="D17" i="1" s="1"/>
  <c r="C16" i="1"/>
  <c r="C17" i="1" s="1"/>
  <c r="J8" i="1"/>
  <c r="J9" i="1" s="1"/>
  <c r="I8" i="1"/>
  <c r="H8" i="1"/>
  <c r="G8" i="1"/>
  <c r="F8" i="1"/>
  <c r="F9" i="1" s="1"/>
  <c r="E8" i="1"/>
  <c r="D8" i="1"/>
  <c r="D9" i="1" s="1"/>
  <c r="C8" i="1"/>
  <c r="C9" i="1" s="1"/>
  <c r="D4" i="1"/>
  <c r="D5" i="1" s="1"/>
  <c r="E4" i="1"/>
  <c r="E5" i="1" s="1"/>
  <c r="F4" i="1"/>
  <c r="F5" i="1" s="1"/>
  <c r="G4" i="1"/>
  <c r="G5" i="1" s="1"/>
  <c r="H4" i="1"/>
  <c r="H5" i="1" s="1"/>
  <c r="I4" i="1"/>
  <c r="I5" i="1" s="1"/>
  <c r="J4" i="1"/>
  <c r="J5" i="1" s="1"/>
  <c r="C4" i="1"/>
  <c r="C5" i="1" s="1"/>
</calcChain>
</file>

<file path=xl/sharedStrings.xml><?xml version="1.0" encoding="utf-8"?>
<sst xmlns="http://schemas.openxmlformats.org/spreadsheetml/2006/main" count="43" uniqueCount="12">
  <si>
    <t>V=1000</t>
    <phoneticPr fontId="1" type="noConversion"/>
  </si>
  <si>
    <t>N</t>
    <phoneticPr fontId="1" type="noConversion"/>
  </si>
  <si>
    <t>Iterations(K)</t>
    <phoneticPr fontId="1" type="noConversion"/>
  </si>
  <si>
    <t>Ticks</t>
    <phoneticPr fontId="1" type="noConversion"/>
  </si>
  <si>
    <t>Total Time(sec)</t>
    <phoneticPr fontId="1" type="noConversion"/>
  </si>
  <si>
    <t>Brute-force search</t>
  </si>
  <si>
    <t>Brute-force search</t>
    <phoneticPr fontId="1" type="noConversion"/>
  </si>
  <si>
    <t>Divide and conquer</t>
  </si>
  <si>
    <t>Divide and conquer</t>
    <phoneticPr fontId="1" type="noConversion"/>
  </si>
  <si>
    <t>V=10000</t>
    <phoneticPr fontId="1" type="noConversion"/>
  </si>
  <si>
    <t>V=100000</t>
    <phoneticPr fontId="1" type="noConversion"/>
  </si>
  <si>
    <t>Duration(sec)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</si>
</sst>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V=1000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Sheet1!$O$8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Sheet1!$P$7:$W$7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Sheet1!$P$8:$W$8</c:f>
              <c:numCache>
                <c:formatCode>0.00E+00</c:formatCode>
                <c:ptCount val="8"/>
                <c:pt idx="0">
                  <c:v>2.1000000000000002E-6</c:v>
                </c:pt>
                <c:pt idx="1">
                  <c:v>3.1999999999999999E-6</c:v>
                </c:pt>
                <c:pt idx="2">
                  <c:v>9.9000000000000001E-6</c:v>
                </c:pt>
                <c:pt idx="3">
                  <c:v>1.27E-5</c:v>
                </c:pt>
                <c:pt idx="4">
                  <c:v>2.8300000000000003E-5</c:v>
                </c:pt>
                <c:pt idx="5">
                  <c:v>3.3500000000000001E-5</c:v>
                </c:pt>
                <c:pt idx="6">
                  <c:v>7.3899999999999994E-5</c:v>
                </c:pt>
                <c:pt idx="7">
                  <c:v>7.4400000000000006E-5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9-47F5-BCC2-99A327AA869E}"/>
            </c:ext>
          </c:extLst>
        </c:ser>
        <c:ser>
          <c:idx val="1"/>
          <c:order val="1"/>
          <c:tx>
            <c:strRef>
              <c:f>Sheet1!$O$9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Sheet1!$P$7:$W$7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Sheet1!$P$9:$W$9</c:f>
              <c:numCache>
                <c:formatCode>0.00E+00</c:formatCode>
                <c:ptCount val="8"/>
                <c:pt idx="0">
                  <c:v>3.1999999999999999E-6</c:v>
                </c:pt>
                <c:pt idx="1">
                  <c:v>2.9000000000000002E-6</c:v>
                </c:pt>
                <c:pt idx="2">
                  <c:v>3.1999999999999999E-6</c:v>
                </c:pt>
                <c:pt idx="3">
                  <c:v>2.7999999999999999E-6</c:v>
                </c:pt>
                <c:pt idx="4">
                  <c:v>3.1E-6</c:v>
                </c:pt>
                <c:pt idx="5">
                  <c:v>3.6000000000000003E-6</c:v>
                </c:pt>
                <c:pt idx="6">
                  <c:v>3.5000000000000004E-6</c:v>
                </c:pt>
                <c:pt idx="7">
                  <c:v>4.1000000000000006E-6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9-47F5-BCC2-99A327AA8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376744"/>
        <c:axId val="646377400"/>
      </c:lineChart>
      <c:catAx>
        <c:axId val="64637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377400"/>
        <c:crosses val="autoZero"/>
        <c:auto val="1"/>
        <c:lblAlgn val="ctr"/>
        <c:lblOffset val="100"/>
        <c:noMultiLvlLbl val="0"/>
      </c:catAx>
      <c:valAx>
        <c:axId val="64637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37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Sheet1!$O$11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Sheet1!$P$10:$W$10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Sheet1!$P$11:$W$11</c:f>
              <c:numCache>
                <c:formatCode>0.00E+00</c:formatCode>
                <c:ptCount val="8"/>
                <c:pt idx="0">
                  <c:v>1.4200000000000001E-5</c:v>
                </c:pt>
                <c:pt idx="1">
                  <c:v>1.6200000000000001E-5</c:v>
                </c:pt>
                <c:pt idx="2">
                  <c:v>2.1399999999999998E-5</c:v>
                </c:pt>
                <c:pt idx="3">
                  <c:v>2.9099999999999999E-5</c:v>
                </c:pt>
                <c:pt idx="4">
                  <c:v>5.8399999999999997E-5</c:v>
                </c:pt>
                <c:pt idx="5">
                  <c:v>6.9200000000000002E-5</c:v>
                </c:pt>
                <c:pt idx="6">
                  <c:v>6.5500000000000006E-5</c:v>
                </c:pt>
                <c:pt idx="7">
                  <c:v>8.53E-5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A-4A9C-830B-5D36085BAAD3}"/>
            </c:ext>
          </c:extLst>
        </c:ser>
        <c:ser>
          <c:idx val="1"/>
          <c:order val="1"/>
          <c:tx>
            <c:strRef>
              <c:f>Sheet1!$O$12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Sheet1!$P$10:$W$10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Sheet1!$P$12:$W$12</c:f>
              <c:numCache>
                <c:formatCode>0.00E+00</c:formatCode>
                <c:ptCount val="8"/>
                <c:pt idx="0">
                  <c:v>2.8300000000000003E-5</c:v>
                </c:pt>
                <c:pt idx="1">
                  <c:v>3.15E-5</c:v>
                </c:pt>
                <c:pt idx="2">
                  <c:v>3.1300000000000002E-5</c:v>
                </c:pt>
                <c:pt idx="3">
                  <c:v>3.1600000000000002E-5</c:v>
                </c:pt>
                <c:pt idx="4">
                  <c:v>3.2700000000000002E-5</c:v>
                </c:pt>
                <c:pt idx="5">
                  <c:v>3.2500000000000004E-5</c:v>
                </c:pt>
                <c:pt idx="6">
                  <c:v>3.6199999999999999E-5</c:v>
                </c:pt>
                <c:pt idx="7">
                  <c:v>3.1199999999999999E-5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A-4A9C-830B-5D36085BA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170488"/>
        <c:axId val="638174752"/>
      </c:lineChart>
      <c:catAx>
        <c:axId val="63817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174752"/>
        <c:crosses val="autoZero"/>
        <c:auto val="1"/>
        <c:lblAlgn val="ctr"/>
        <c:lblOffset val="100"/>
        <c:noMultiLvlLbl val="0"/>
      </c:catAx>
      <c:valAx>
        <c:axId val="6381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17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Sheet1!$O$14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Sheet1!$P$13:$W$13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Sheet1!$P$14:$W$14</c:f>
              <c:numCache>
                <c:formatCode>0.00E+00</c:formatCode>
                <c:ptCount val="8"/>
                <c:pt idx="0">
                  <c:v>3.68E-5</c:v>
                </c:pt>
                <c:pt idx="1">
                  <c:v>4.8999999999999998E-5</c:v>
                </c:pt>
                <c:pt idx="2">
                  <c:v>5.2900000000000005E-5</c:v>
                </c:pt>
                <c:pt idx="3">
                  <c:v>5.6800000000000005E-5</c:v>
                </c:pt>
                <c:pt idx="4">
                  <c:v>6.0299999999999995E-5</c:v>
                </c:pt>
                <c:pt idx="5">
                  <c:v>7.86E-5</c:v>
                </c:pt>
                <c:pt idx="6">
                  <c:v>9.520000000000001E-5</c:v>
                </c:pt>
                <c:pt idx="7">
                  <c:v>1.032E-4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A-438F-9266-AA42F4A7C53D}"/>
            </c:ext>
          </c:extLst>
        </c:ser>
        <c:ser>
          <c:idx val="1"/>
          <c:order val="1"/>
          <c:tx>
            <c:strRef>
              <c:f>Sheet1!$O$15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Sheet1!$P$13:$W$13</c:f>
              <c:numCache>
                <c:formatCode>General</c:formatCod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</c:numCache>
            </c:numRef>
          </c:cat>
          <c:val>
            <c:numRef>
              <c:f>Sheet1!$P$15:$W$15</c:f>
              <c:numCache>
                <c:formatCode>0.00E+00</c:formatCode>
                <c:ptCount val="8"/>
                <c:pt idx="0">
                  <c:v>8.180000000000001E-5</c:v>
                </c:pt>
                <c:pt idx="1">
                  <c:v>1.004E-4</c:v>
                </c:pt>
                <c:pt idx="2">
                  <c:v>1.02E-4</c:v>
                </c:pt>
                <c:pt idx="3">
                  <c:v>1.0920000000000001E-4</c:v>
                </c:pt>
                <c:pt idx="4">
                  <c:v>1.0280000000000001E-4</c:v>
                </c:pt>
                <c:pt idx="5">
                  <c:v>1.072E-4</c:v>
                </c:pt>
                <c:pt idx="6">
                  <c:v>1.0400000000000001E-4</c:v>
                </c:pt>
                <c:pt idx="7">
                  <c:v>1.0449999999999999E-4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A-438F-9266-AA42F4A7C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231136"/>
        <c:axId val="725232120"/>
      </c:lineChart>
      <c:catAx>
        <c:axId val="72523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5232120"/>
        <c:crosses val="autoZero"/>
        <c:auto val="1"/>
        <c:lblAlgn val="ctr"/>
        <c:lblOffset val="100"/>
        <c:noMultiLvlLbl val="0"/>
      </c:catAx>
      <c:valAx>
        <c:axId val="72523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52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Duration when V=10000(added)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Sheet1!$O$14</c:f>
              <c:strCache>
                <c:ptCount val="1"/>
                <c:pt idx="0">
                  <c:v>Brute-force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Sheet1!$P$13:$X$13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Sheet1!$P$14:$X$14</c:f>
              <c:numCache>
                <c:formatCode>0.00E+00</c:formatCode>
                <c:ptCount val="9"/>
                <c:pt idx="0">
                  <c:v>3.68E-5</c:v>
                </c:pt>
                <c:pt idx="1">
                  <c:v>4.8999999999999998E-5</c:v>
                </c:pt>
                <c:pt idx="2">
                  <c:v>5.2900000000000005E-5</c:v>
                </c:pt>
                <c:pt idx="3">
                  <c:v>5.6800000000000005E-5</c:v>
                </c:pt>
                <c:pt idx="4">
                  <c:v>6.0299999999999995E-5</c:v>
                </c:pt>
                <c:pt idx="5">
                  <c:v>7.86E-5</c:v>
                </c:pt>
                <c:pt idx="6">
                  <c:v>9.520000000000001E-5</c:v>
                </c:pt>
                <c:pt idx="7">
                  <c:v>1.032E-4</c:v>
                </c:pt>
                <c:pt idx="8">
                  <c:v>7.6580000000000007E-4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D-43D5-B3D5-EB8998702A86}"/>
            </c:ext>
          </c:extLst>
        </c:ser>
        <c:ser>
          <c:idx val="1"/>
          <c:order val="1"/>
          <c:tx>
            <c:strRef>
              <c:f>Sheet1!$O$15</c:f>
              <c:strCache>
                <c:ptCount val="1"/>
                <c:pt idx="0">
                  <c:v>Divide and conquer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Sheet1!$P$13:$X$13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  <c:pt idx="7">
                  <c:v>100000</c:v>
                </c:pt>
                <c:pt idx="8">
                  <c:v>1000000</c:v>
                </c:pt>
              </c:numCache>
            </c:numRef>
          </c:cat>
          <c:val>
            <c:numRef>
              <c:f>Sheet1!$P$15:$X$15</c:f>
              <c:numCache>
                <c:formatCode>0.00E+00</c:formatCode>
                <c:ptCount val="9"/>
                <c:pt idx="0">
                  <c:v>8.180000000000001E-5</c:v>
                </c:pt>
                <c:pt idx="1">
                  <c:v>1.004E-4</c:v>
                </c:pt>
                <c:pt idx="2">
                  <c:v>1.02E-4</c:v>
                </c:pt>
                <c:pt idx="3">
                  <c:v>1.0920000000000001E-4</c:v>
                </c:pt>
                <c:pt idx="4">
                  <c:v>1.0280000000000001E-4</c:v>
                </c:pt>
                <c:pt idx="5">
                  <c:v>1.072E-4</c:v>
                </c:pt>
                <c:pt idx="6">
                  <c:v>1.0400000000000001E-4</c:v>
                </c:pt>
                <c:pt idx="7">
                  <c:v>1.0449999999999999E-4</c:v>
                </c:pt>
                <c:pt idx="8">
                  <c:v>1.0130000000000001E-4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D-43D5-B3D5-EB8998702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142392"/>
        <c:axId val="721142720"/>
      </c:lineChart>
      <c:catAx>
        <c:axId val="72114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142720"/>
        <c:crosses val="autoZero"/>
        <c:auto val="1"/>
        <c:lblAlgn val="ctr"/>
        <c:lblOffset val="100"/>
        <c:noMultiLvlLbl val="0"/>
      </c:catAx>
      <c:valAx>
        <c:axId val="7211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114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204787</xdr:colOff>
      <xdr:row>17</xdr:row>
      <xdr:rowOff>38100</xdr:rowOff>
    </xdr:from>
    <xdr:to>
      <xdr:col>19</xdr:col>
      <xdr:colOff>4762</xdr:colOff>
      <xdr:row>32</xdr:row>
      <xdr:rowOff>66675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1587D0-E9A2-4385-8EA8-83C5E7A97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33</xdr:row>
      <xdr:rowOff>66675</xdr:rowOff>
    </xdr:from>
    <xdr:to>
      <xdr:col>18</xdr:col>
      <xdr:colOff>657225</xdr:colOff>
      <xdr:row>48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7337EA3-AC7E-4808-B6A3-BD539B35A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628650</xdr:colOff>
      <xdr:row>33</xdr:row>
      <xdr:rowOff>152400</xdr:rowOff>
    </xdr:from>
    <xdr:to>
      <xdr:col>27</xdr:col>
      <xdr:colOff>400050</xdr:colOff>
      <xdr:row>49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BA4DA17-1AB3-409F-8F9C-20140D81A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619125</xdr:colOff>
      <xdr:row>17</xdr:row>
      <xdr:rowOff>47625</xdr:rowOff>
    </xdr:from>
    <xdr:to>
      <xdr:col>27</xdr:col>
      <xdr:colOff>390525</xdr:colOff>
      <xdr:row>32</xdr:row>
      <xdr:rowOff>76200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916BE6C-66EB-4F49-A8E6-8C5722A6E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topLeftCell="D7" workbookViewId="0">
      <selection activeCell="O13" sqref="O13:X15"/>
    </sheetView>
  </sheetViews>
  <sheetFormatPr defaultRowHeight="14.25" x14ac:dyDescent="0.2"/>
  <cols>
    <col min="1" max="1" width="12.25" customWidth="1"/>
    <col min="2" max="2" width="14.5" customWidth="1"/>
    <col min="15" max="15" width="17.625" customWidth="1"/>
  </cols>
  <sheetData>
    <row r="1" spans="1:24" x14ac:dyDescent="0.2">
      <c r="A1" s="1" t="s">
        <v>0</v>
      </c>
      <c r="B1" s="1" t="s">
        <v>1</v>
      </c>
      <c r="C1" s="1">
        <v>1000</v>
      </c>
      <c r="D1" s="1">
        <v>5000</v>
      </c>
      <c r="E1" s="1">
        <v>10000</v>
      </c>
      <c r="F1" s="1">
        <v>20000</v>
      </c>
      <c r="G1" s="1">
        <v>40000</v>
      </c>
      <c r="H1" s="1">
        <v>60000</v>
      </c>
      <c r="I1" s="1">
        <v>80000</v>
      </c>
      <c r="J1" s="1">
        <v>100000</v>
      </c>
    </row>
    <row r="2" spans="1:24" x14ac:dyDescent="0.2">
      <c r="A2" s="7" t="s">
        <v>6</v>
      </c>
      <c r="B2" s="1" t="s">
        <v>2</v>
      </c>
      <c r="C2" s="1">
        <v>10000</v>
      </c>
      <c r="D2" s="1">
        <v>10000</v>
      </c>
      <c r="E2" s="1">
        <v>10000</v>
      </c>
      <c r="F2" s="1">
        <v>10000</v>
      </c>
      <c r="G2" s="1">
        <v>10000</v>
      </c>
      <c r="H2" s="1">
        <v>10000</v>
      </c>
      <c r="I2" s="1">
        <v>10000</v>
      </c>
      <c r="J2" s="1">
        <v>10000</v>
      </c>
    </row>
    <row r="3" spans="1:24" x14ac:dyDescent="0.2">
      <c r="A3" s="7"/>
      <c r="B3" s="1" t="s">
        <v>3</v>
      </c>
      <c r="C3" s="1">
        <v>21</v>
      </c>
      <c r="D3" s="1">
        <v>32</v>
      </c>
      <c r="E3" s="1">
        <v>99</v>
      </c>
      <c r="F3" s="1">
        <v>127</v>
      </c>
      <c r="G3" s="1">
        <v>283</v>
      </c>
      <c r="H3" s="1">
        <v>335</v>
      </c>
      <c r="I3" s="1">
        <v>739</v>
      </c>
      <c r="J3" s="1">
        <v>744</v>
      </c>
    </row>
    <row r="4" spans="1:24" x14ac:dyDescent="0.2">
      <c r="A4" s="7"/>
      <c r="B4" s="1" t="s">
        <v>4</v>
      </c>
      <c r="C4" s="1">
        <f>C3*0.001</f>
        <v>2.1000000000000001E-2</v>
      </c>
      <c r="D4" s="1">
        <f t="shared" ref="D4:J4" si="0">D3*0.001</f>
        <v>3.2000000000000001E-2</v>
      </c>
      <c r="E4" s="1">
        <f t="shared" si="0"/>
        <v>9.9000000000000005E-2</v>
      </c>
      <c r="F4" s="1">
        <f t="shared" si="0"/>
        <v>0.127</v>
      </c>
      <c r="G4" s="1">
        <f t="shared" si="0"/>
        <v>0.28300000000000003</v>
      </c>
      <c r="H4" s="1">
        <f t="shared" si="0"/>
        <v>0.33500000000000002</v>
      </c>
      <c r="I4" s="1">
        <f t="shared" si="0"/>
        <v>0.73899999999999999</v>
      </c>
      <c r="J4" s="1">
        <f t="shared" si="0"/>
        <v>0.74399999999999999</v>
      </c>
    </row>
    <row r="5" spans="1:24" x14ac:dyDescent="0.2">
      <c r="A5" s="7"/>
      <c r="B5" s="1" t="s">
        <v>11</v>
      </c>
      <c r="C5" s="2">
        <f>C4/C2</f>
        <v>2.1000000000000002E-6</v>
      </c>
      <c r="D5" s="2">
        <f t="shared" ref="D5:J5" si="1">D4/D2</f>
        <v>3.1999999999999999E-6</v>
      </c>
      <c r="E5" s="2">
        <f t="shared" si="1"/>
        <v>9.9000000000000001E-6</v>
      </c>
      <c r="F5" s="2">
        <f t="shared" si="1"/>
        <v>1.27E-5</v>
      </c>
      <c r="G5" s="2">
        <f t="shared" si="1"/>
        <v>2.8300000000000003E-5</v>
      </c>
      <c r="H5" s="2">
        <f t="shared" si="1"/>
        <v>3.3500000000000001E-5</v>
      </c>
      <c r="I5" s="2">
        <f t="shared" si="1"/>
        <v>7.3899999999999994E-5</v>
      </c>
      <c r="J5" s="2">
        <f t="shared" si="1"/>
        <v>7.4400000000000006E-5</v>
      </c>
    </row>
    <row r="6" spans="1:24" x14ac:dyDescent="0.2">
      <c r="A6" s="8" t="s">
        <v>8</v>
      </c>
      <c r="B6" s="1" t="s">
        <v>2</v>
      </c>
      <c r="C6" s="1">
        <v>10000</v>
      </c>
      <c r="D6" s="1">
        <v>10000</v>
      </c>
      <c r="E6" s="1">
        <v>10000</v>
      </c>
      <c r="F6" s="1">
        <v>10000</v>
      </c>
      <c r="G6" s="1">
        <v>10000</v>
      </c>
      <c r="H6" s="1">
        <v>10000</v>
      </c>
      <c r="I6" s="1">
        <v>10000</v>
      </c>
      <c r="J6" s="1">
        <v>10000</v>
      </c>
    </row>
    <row r="7" spans="1:24" x14ac:dyDescent="0.2">
      <c r="A7" s="9"/>
      <c r="B7" s="1" t="s">
        <v>3</v>
      </c>
      <c r="C7" s="1">
        <v>32</v>
      </c>
      <c r="D7" s="1">
        <v>29</v>
      </c>
      <c r="E7" s="1">
        <v>32</v>
      </c>
      <c r="F7" s="1">
        <v>28</v>
      </c>
      <c r="G7" s="1">
        <v>31</v>
      </c>
      <c r="H7" s="1">
        <v>36</v>
      </c>
      <c r="I7" s="1">
        <v>35</v>
      </c>
      <c r="J7" s="1">
        <v>41</v>
      </c>
      <c r="O7" s="5"/>
      <c r="P7" s="1">
        <v>1000</v>
      </c>
      <c r="Q7" s="1">
        <v>5000</v>
      </c>
      <c r="R7" s="1">
        <v>10000</v>
      </c>
      <c r="S7" s="1">
        <v>20000</v>
      </c>
      <c r="T7" s="1">
        <v>40000</v>
      </c>
      <c r="U7" s="1">
        <v>60000</v>
      </c>
      <c r="V7" s="1">
        <v>80000</v>
      </c>
      <c r="W7" s="1">
        <v>100000</v>
      </c>
    </row>
    <row r="8" spans="1:24" x14ac:dyDescent="0.2">
      <c r="A8" s="9"/>
      <c r="B8" s="1" t="s">
        <v>4</v>
      </c>
      <c r="C8" s="1">
        <f>C7*0.001</f>
        <v>3.2000000000000001E-2</v>
      </c>
      <c r="D8" s="1">
        <f t="shared" ref="D8" si="2">D7*0.001</f>
        <v>2.9000000000000001E-2</v>
      </c>
      <c r="E8" s="1">
        <f t="shared" ref="E8" si="3">E7*0.001</f>
        <v>3.2000000000000001E-2</v>
      </c>
      <c r="F8" s="1">
        <f t="shared" ref="F8" si="4">F7*0.001</f>
        <v>2.8000000000000001E-2</v>
      </c>
      <c r="G8" s="1">
        <f t="shared" ref="G8" si="5">G7*0.001</f>
        <v>3.1E-2</v>
      </c>
      <c r="H8" s="1">
        <f t="shared" ref="H8" si="6">H7*0.001</f>
        <v>3.6000000000000004E-2</v>
      </c>
      <c r="I8" s="1">
        <f t="shared" ref="I8" si="7">I7*0.001</f>
        <v>3.5000000000000003E-2</v>
      </c>
      <c r="J8" s="1">
        <f t="shared" ref="J8" si="8">J7*0.001</f>
        <v>4.1000000000000002E-2</v>
      </c>
      <c r="O8" s="5" t="s">
        <v>5</v>
      </c>
      <c r="P8" s="2">
        <v>2.1000000000000002E-6</v>
      </c>
      <c r="Q8" s="2">
        <v>3.1999999999999999E-6</v>
      </c>
      <c r="R8" s="2">
        <v>9.9000000000000001E-6</v>
      </c>
      <c r="S8" s="2">
        <v>1.27E-5</v>
      </c>
      <c r="T8" s="2">
        <v>2.8300000000000003E-5</v>
      </c>
      <c r="U8" s="2">
        <v>3.3500000000000001E-5</v>
      </c>
      <c r="V8" s="2">
        <v>7.3899999999999994E-5</v>
      </c>
      <c r="W8" s="2">
        <v>7.4400000000000006E-5</v>
      </c>
    </row>
    <row r="9" spans="1:24" x14ac:dyDescent="0.2">
      <c r="A9" s="10"/>
      <c r="B9" s="1" t="s">
        <v>11</v>
      </c>
      <c r="C9" s="2">
        <f>C8/C6</f>
        <v>3.1999999999999999E-6</v>
      </c>
      <c r="D9" s="2">
        <f t="shared" ref="D9" si="9">D8/D6</f>
        <v>2.9000000000000002E-6</v>
      </c>
      <c r="E9" s="2">
        <f t="shared" ref="E9" si="10">E8/E6</f>
        <v>3.1999999999999999E-6</v>
      </c>
      <c r="F9" s="2">
        <f t="shared" ref="F9" si="11">F8/F6</f>
        <v>2.7999999999999999E-6</v>
      </c>
      <c r="G9" s="2">
        <f t="shared" ref="G9" si="12">G8/G6</f>
        <v>3.1E-6</v>
      </c>
      <c r="H9" s="2">
        <f t="shared" ref="H9" si="13">H8/H6</f>
        <v>3.6000000000000003E-6</v>
      </c>
      <c r="I9" s="2">
        <f t="shared" ref="I9" si="14">I8/I6</f>
        <v>3.5000000000000004E-6</v>
      </c>
      <c r="J9" s="2">
        <f t="shared" ref="J9" si="15">J8/J6</f>
        <v>4.1000000000000006E-6</v>
      </c>
      <c r="O9" s="5" t="s">
        <v>7</v>
      </c>
      <c r="P9" s="6">
        <v>3.1999999999999999E-6</v>
      </c>
      <c r="Q9" s="6">
        <v>2.9000000000000002E-6</v>
      </c>
      <c r="R9" s="6">
        <v>3.1999999999999999E-6</v>
      </c>
      <c r="S9" s="6">
        <v>2.7999999999999999E-6</v>
      </c>
      <c r="T9" s="6">
        <v>3.1E-6</v>
      </c>
      <c r="U9" s="6">
        <v>3.6000000000000003E-6</v>
      </c>
      <c r="V9" s="6">
        <v>3.5000000000000004E-6</v>
      </c>
      <c r="W9" s="6">
        <v>4.1000000000000006E-6</v>
      </c>
    </row>
    <row r="10" spans="1:24" x14ac:dyDescent="0.2">
      <c r="O10" s="5" t="s">
        <v>1</v>
      </c>
      <c r="P10" s="1">
        <v>1000</v>
      </c>
      <c r="Q10" s="1">
        <v>5000</v>
      </c>
      <c r="R10" s="1">
        <v>10000</v>
      </c>
      <c r="S10" s="1">
        <v>20000</v>
      </c>
      <c r="T10" s="1">
        <v>40000</v>
      </c>
      <c r="U10" s="1">
        <v>60000</v>
      </c>
      <c r="V10" s="1">
        <v>80000</v>
      </c>
      <c r="W10" s="1">
        <v>100000</v>
      </c>
    </row>
    <row r="11" spans="1:24" x14ac:dyDescent="0.2">
      <c r="O11" s="5" t="s">
        <v>5</v>
      </c>
      <c r="P11" s="6">
        <v>1.4200000000000001E-5</v>
      </c>
      <c r="Q11" s="6">
        <v>1.6200000000000001E-5</v>
      </c>
      <c r="R11" s="6">
        <v>2.1399999999999998E-5</v>
      </c>
      <c r="S11" s="6">
        <v>2.9099999999999999E-5</v>
      </c>
      <c r="T11" s="6">
        <v>5.8399999999999997E-5</v>
      </c>
      <c r="U11" s="6">
        <v>6.9200000000000002E-5</v>
      </c>
      <c r="V11" s="6">
        <v>6.5500000000000006E-5</v>
      </c>
      <c r="W11" s="6">
        <v>8.53E-5</v>
      </c>
    </row>
    <row r="12" spans="1:24" x14ac:dyDescent="0.2">
      <c r="O12" s="5" t="s">
        <v>7</v>
      </c>
      <c r="P12" s="6">
        <v>2.8300000000000003E-5</v>
      </c>
      <c r="Q12" s="6">
        <v>3.15E-5</v>
      </c>
      <c r="R12" s="6">
        <v>3.1300000000000002E-5</v>
      </c>
      <c r="S12" s="6">
        <v>3.1600000000000002E-5</v>
      </c>
      <c r="T12" s="6">
        <v>3.2700000000000002E-5</v>
      </c>
      <c r="U12" s="6">
        <v>3.2500000000000004E-5</v>
      </c>
      <c r="V12" s="6">
        <v>3.6199999999999999E-5</v>
      </c>
      <c r="W12" s="6">
        <v>3.1199999999999999E-5</v>
      </c>
    </row>
    <row r="13" spans="1:24" x14ac:dyDescent="0.2">
      <c r="A13" s="1" t="s">
        <v>9</v>
      </c>
      <c r="B13" s="1" t="s">
        <v>1</v>
      </c>
      <c r="C13" s="1">
        <v>1000</v>
      </c>
      <c r="D13" s="1">
        <v>5000</v>
      </c>
      <c r="E13" s="1">
        <v>10000</v>
      </c>
      <c r="F13" s="1">
        <v>20000</v>
      </c>
      <c r="G13" s="1">
        <v>40000</v>
      </c>
      <c r="H13" s="1">
        <v>60000</v>
      </c>
      <c r="I13" s="1">
        <v>80000</v>
      </c>
      <c r="J13" s="1">
        <v>100000</v>
      </c>
      <c r="O13" s="5"/>
      <c r="P13" s="1">
        <v>1000</v>
      </c>
      <c r="Q13" s="1">
        <v>5000</v>
      </c>
      <c r="R13" s="1">
        <v>10000</v>
      </c>
      <c r="S13" s="1">
        <v>20000</v>
      </c>
      <c r="T13" s="1">
        <v>40000</v>
      </c>
      <c r="U13" s="1">
        <v>60000</v>
      </c>
      <c r="V13" s="1">
        <v>80000</v>
      </c>
      <c r="W13" s="1">
        <v>100000</v>
      </c>
      <c r="X13" s="3">
        <v>1000000</v>
      </c>
    </row>
    <row r="14" spans="1:24" x14ac:dyDescent="0.2">
      <c r="A14" s="7" t="s">
        <v>6</v>
      </c>
      <c r="B14" s="1" t="s">
        <v>2</v>
      </c>
      <c r="C14" s="1">
        <v>10000</v>
      </c>
      <c r="D14" s="1">
        <v>10000</v>
      </c>
      <c r="E14" s="1">
        <v>10000</v>
      </c>
      <c r="F14" s="1">
        <v>10000</v>
      </c>
      <c r="G14" s="1">
        <v>10000</v>
      </c>
      <c r="H14" s="1">
        <v>10000</v>
      </c>
      <c r="I14" s="1">
        <v>10000</v>
      </c>
      <c r="J14" s="1">
        <v>10000</v>
      </c>
      <c r="O14" s="5" t="s">
        <v>5</v>
      </c>
      <c r="P14" s="6">
        <v>3.68E-5</v>
      </c>
      <c r="Q14" s="6">
        <v>4.8999999999999998E-5</v>
      </c>
      <c r="R14" s="6">
        <v>5.2900000000000005E-5</v>
      </c>
      <c r="S14" s="6">
        <v>5.6800000000000005E-5</v>
      </c>
      <c r="T14" s="6">
        <v>6.0299999999999995E-5</v>
      </c>
      <c r="U14" s="6">
        <v>7.86E-5</v>
      </c>
      <c r="V14" s="6">
        <v>9.520000000000001E-5</v>
      </c>
      <c r="W14" s="6">
        <v>1.032E-4</v>
      </c>
      <c r="X14" s="4">
        <v>7.6580000000000007E-4</v>
      </c>
    </row>
    <row r="15" spans="1:24" x14ac:dyDescent="0.2">
      <c r="A15" s="7"/>
      <c r="B15" s="1" t="s">
        <v>3</v>
      </c>
      <c r="C15" s="1">
        <v>142</v>
      </c>
      <c r="D15" s="1">
        <v>162</v>
      </c>
      <c r="E15" s="1">
        <v>214</v>
      </c>
      <c r="F15" s="1">
        <v>291</v>
      </c>
      <c r="G15" s="1">
        <v>584</v>
      </c>
      <c r="H15" s="1">
        <v>692</v>
      </c>
      <c r="I15" s="1">
        <v>655</v>
      </c>
      <c r="J15" s="1">
        <v>853</v>
      </c>
      <c r="O15" s="5" t="s">
        <v>7</v>
      </c>
      <c r="P15" s="6">
        <v>8.180000000000001E-5</v>
      </c>
      <c r="Q15" s="6">
        <v>1.004E-4</v>
      </c>
      <c r="R15" s="6">
        <v>1.02E-4</v>
      </c>
      <c r="S15" s="6">
        <v>1.0920000000000001E-4</v>
      </c>
      <c r="T15" s="6">
        <v>1.0280000000000001E-4</v>
      </c>
      <c r="U15" s="6">
        <v>1.072E-4</v>
      </c>
      <c r="V15" s="6">
        <v>1.0400000000000001E-4</v>
      </c>
      <c r="W15" s="6">
        <v>1.0449999999999999E-4</v>
      </c>
      <c r="X15" s="4">
        <v>1.0130000000000001E-4</v>
      </c>
    </row>
    <row r="16" spans="1:24" x14ac:dyDescent="0.2">
      <c r="A16" s="7"/>
      <c r="B16" s="1" t="s">
        <v>4</v>
      </c>
      <c r="C16" s="1">
        <f>C15*0.001</f>
        <v>0.14200000000000002</v>
      </c>
      <c r="D16" s="1">
        <f t="shared" ref="D16" si="16">D15*0.001</f>
        <v>0.16200000000000001</v>
      </c>
      <c r="E16" s="1">
        <f t="shared" ref="E16" si="17">E15*0.001</f>
        <v>0.214</v>
      </c>
      <c r="F16" s="1">
        <f t="shared" ref="F16" si="18">F15*0.001</f>
        <v>0.29099999999999998</v>
      </c>
      <c r="G16" s="1">
        <f t="shared" ref="G16" si="19">G15*0.001</f>
        <v>0.58399999999999996</v>
      </c>
      <c r="H16" s="1">
        <f t="shared" ref="H16" si="20">H15*0.001</f>
        <v>0.69200000000000006</v>
      </c>
      <c r="I16" s="1">
        <f t="shared" ref="I16" si="21">I15*0.001</f>
        <v>0.65500000000000003</v>
      </c>
      <c r="J16" s="1">
        <f t="shared" ref="J16" si="22">J15*0.001</f>
        <v>0.85299999999999998</v>
      </c>
      <c r="O16" s="5"/>
      <c r="P16" s="5"/>
      <c r="Q16" s="5"/>
      <c r="R16" s="5"/>
      <c r="S16" s="5"/>
      <c r="T16" s="5"/>
      <c r="U16" s="5"/>
      <c r="V16" s="5"/>
      <c r="W16" s="5"/>
    </row>
    <row r="17" spans="1:11" x14ac:dyDescent="0.2">
      <c r="A17" s="7"/>
      <c r="B17" s="1" t="s">
        <v>11</v>
      </c>
      <c r="C17" s="2">
        <f>C16/C14</f>
        <v>1.4200000000000001E-5</v>
      </c>
      <c r="D17" s="2">
        <f t="shared" ref="D17" si="23">D16/D14</f>
        <v>1.6200000000000001E-5</v>
      </c>
      <c r="E17" s="2">
        <f t="shared" ref="E17" si="24">E16/E14</f>
        <v>2.1399999999999998E-5</v>
      </c>
      <c r="F17" s="2">
        <f t="shared" ref="F17" si="25">F16/F14</f>
        <v>2.9099999999999999E-5</v>
      </c>
      <c r="G17" s="2">
        <f t="shared" ref="G17" si="26">G16/G14</f>
        <v>5.8399999999999997E-5</v>
      </c>
      <c r="H17" s="2">
        <f t="shared" ref="H17" si="27">H16/H14</f>
        <v>6.9200000000000002E-5</v>
      </c>
      <c r="I17" s="2">
        <f t="shared" ref="I17" si="28">I16/I14</f>
        <v>6.5500000000000006E-5</v>
      </c>
      <c r="J17" s="2">
        <f t="shared" ref="J17" si="29">J16/J14</f>
        <v>8.53E-5</v>
      </c>
    </row>
    <row r="18" spans="1:11" x14ac:dyDescent="0.2">
      <c r="A18" s="8" t="s">
        <v>8</v>
      </c>
      <c r="B18" s="1" t="s">
        <v>2</v>
      </c>
      <c r="C18" s="1">
        <v>10000</v>
      </c>
      <c r="D18" s="1">
        <v>10000</v>
      </c>
      <c r="E18" s="1">
        <v>10000</v>
      </c>
      <c r="F18" s="1">
        <v>10000</v>
      </c>
      <c r="G18" s="1">
        <v>10000</v>
      </c>
      <c r="H18" s="1">
        <v>10000</v>
      </c>
      <c r="I18" s="1">
        <v>10000</v>
      </c>
      <c r="J18" s="1">
        <v>10000</v>
      </c>
    </row>
    <row r="19" spans="1:11" x14ac:dyDescent="0.2">
      <c r="A19" s="9"/>
      <c r="B19" s="1" t="s">
        <v>3</v>
      </c>
      <c r="C19" s="1">
        <v>283</v>
      </c>
      <c r="D19" s="1">
        <v>315</v>
      </c>
      <c r="E19" s="1">
        <v>313</v>
      </c>
      <c r="F19" s="1">
        <v>316</v>
      </c>
      <c r="G19" s="1">
        <v>327</v>
      </c>
      <c r="H19" s="1">
        <v>325</v>
      </c>
      <c r="I19" s="1">
        <v>362</v>
      </c>
      <c r="J19" s="1">
        <v>312</v>
      </c>
    </row>
    <row r="20" spans="1:11" x14ac:dyDescent="0.2">
      <c r="A20" s="9"/>
      <c r="B20" s="1" t="s">
        <v>4</v>
      </c>
      <c r="C20" s="1">
        <f>C19*0.001</f>
        <v>0.28300000000000003</v>
      </c>
      <c r="D20" s="1">
        <f t="shared" ref="D20" si="30">D19*0.001</f>
        <v>0.315</v>
      </c>
      <c r="E20" s="1">
        <f t="shared" ref="E20" si="31">E19*0.001</f>
        <v>0.313</v>
      </c>
      <c r="F20" s="1">
        <f t="shared" ref="F20" si="32">F19*0.001</f>
        <v>0.316</v>
      </c>
      <c r="G20" s="1">
        <f t="shared" ref="G20" si="33">G19*0.001</f>
        <v>0.32700000000000001</v>
      </c>
      <c r="H20" s="1">
        <f t="shared" ref="H20" si="34">H19*0.001</f>
        <v>0.32500000000000001</v>
      </c>
      <c r="I20" s="1">
        <f t="shared" ref="I20" si="35">I19*0.001</f>
        <v>0.36199999999999999</v>
      </c>
      <c r="J20" s="1">
        <f t="shared" ref="J20" si="36">J19*0.001</f>
        <v>0.312</v>
      </c>
    </row>
    <row r="21" spans="1:11" x14ac:dyDescent="0.2">
      <c r="A21" s="10"/>
      <c r="B21" s="1" t="s">
        <v>11</v>
      </c>
      <c r="C21" s="2">
        <f>C20/C18</f>
        <v>2.8300000000000003E-5</v>
      </c>
      <c r="D21" s="2">
        <f t="shared" ref="D21" si="37">D20/D18</f>
        <v>3.15E-5</v>
      </c>
      <c r="E21" s="2">
        <f t="shared" ref="E21" si="38">E20/E18</f>
        <v>3.1300000000000002E-5</v>
      </c>
      <c r="F21" s="2">
        <f t="shared" ref="F21" si="39">F20/F18</f>
        <v>3.1600000000000002E-5</v>
      </c>
      <c r="G21" s="2">
        <f t="shared" ref="G21" si="40">G20/G18</f>
        <v>3.2700000000000002E-5</v>
      </c>
      <c r="H21" s="2">
        <f t="shared" ref="H21" si="41">H20/H18</f>
        <v>3.2500000000000004E-5</v>
      </c>
      <c r="I21" s="2">
        <f t="shared" ref="I21" si="42">I20/I18</f>
        <v>3.6199999999999999E-5</v>
      </c>
      <c r="J21" s="2">
        <f t="shared" ref="J21" si="43">J20/J18</f>
        <v>3.1199999999999999E-5</v>
      </c>
    </row>
    <row r="25" spans="1:11" x14ac:dyDescent="0.2">
      <c r="A25" s="1" t="s">
        <v>10</v>
      </c>
      <c r="B25" s="1" t="s">
        <v>1</v>
      </c>
      <c r="C25" s="1">
        <v>1000</v>
      </c>
      <c r="D25" s="1">
        <v>5000</v>
      </c>
      <c r="E25" s="1">
        <v>10000</v>
      </c>
      <c r="F25" s="1">
        <v>20000</v>
      </c>
      <c r="G25" s="1">
        <v>40000</v>
      </c>
      <c r="H25" s="1">
        <v>60000</v>
      </c>
      <c r="I25" s="1">
        <v>80000</v>
      </c>
      <c r="J25" s="1">
        <v>100000</v>
      </c>
      <c r="K25" s="3">
        <v>1000000</v>
      </c>
    </row>
    <row r="26" spans="1:11" x14ac:dyDescent="0.2">
      <c r="A26" s="7" t="s">
        <v>6</v>
      </c>
      <c r="B26" s="1" t="s">
        <v>2</v>
      </c>
      <c r="C26" s="1">
        <v>10000</v>
      </c>
      <c r="D26" s="1">
        <v>10000</v>
      </c>
      <c r="E26" s="1">
        <v>10000</v>
      </c>
      <c r="F26" s="1">
        <v>10000</v>
      </c>
      <c r="G26" s="1">
        <v>10000</v>
      </c>
      <c r="H26" s="1">
        <v>10000</v>
      </c>
      <c r="I26" s="1">
        <v>10000</v>
      </c>
      <c r="J26" s="1">
        <v>10000</v>
      </c>
      <c r="K26" s="3">
        <v>10000</v>
      </c>
    </row>
    <row r="27" spans="1:11" x14ac:dyDescent="0.2">
      <c r="A27" s="7"/>
      <c r="B27" s="1" t="s">
        <v>3</v>
      </c>
      <c r="C27" s="1">
        <v>368</v>
      </c>
      <c r="D27" s="1">
        <v>490</v>
      </c>
      <c r="E27" s="1">
        <v>529</v>
      </c>
      <c r="F27" s="1">
        <v>568</v>
      </c>
      <c r="G27" s="1">
        <v>603</v>
      </c>
      <c r="H27" s="1">
        <v>786</v>
      </c>
      <c r="I27" s="1">
        <v>952</v>
      </c>
      <c r="J27" s="1">
        <v>1032</v>
      </c>
      <c r="K27" s="3">
        <v>7658</v>
      </c>
    </row>
    <row r="28" spans="1:11" x14ac:dyDescent="0.2">
      <c r="A28" s="7"/>
      <c r="B28" s="1" t="s">
        <v>4</v>
      </c>
      <c r="C28" s="1">
        <f>C27*0.001</f>
        <v>0.36799999999999999</v>
      </c>
      <c r="D28" s="1">
        <f t="shared" ref="D28" si="44">D27*0.001</f>
        <v>0.49</v>
      </c>
      <c r="E28" s="1">
        <f t="shared" ref="E28" si="45">E27*0.001</f>
        <v>0.52900000000000003</v>
      </c>
      <c r="F28" s="1">
        <f t="shared" ref="F28" si="46">F27*0.001</f>
        <v>0.56800000000000006</v>
      </c>
      <c r="G28" s="1">
        <f t="shared" ref="G28" si="47">G27*0.001</f>
        <v>0.60299999999999998</v>
      </c>
      <c r="H28" s="1">
        <f t="shared" ref="H28" si="48">H27*0.001</f>
        <v>0.78600000000000003</v>
      </c>
      <c r="I28" s="1">
        <f t="shared" ref="I28" si="49">I27*0.001</f>
        <v>0.95200000000000007</v>
      </c>
      <c r="J28" s="1">
        <f t="shared" ref="J28:K28" si="50">J27*0.001</f>
        <v>1.032</v>
      </c>
      <c r="K28" s="1">
        <f t="shared" si="50"/>
        <v>7.6580000000000004</v>
      </c>
    </row>
    <row r="29" spans="1:11" x14ac:dyDescent="0.2">
      <c r="A29" s="7"/>
      <c r="B29" s="1" t="s">
        <v>11</v>
      </c>
      <c r="C29" s="2">
        <f>C28/C26</f>
        <v>3.68E-5</v>
      </c>
      <c r="D29" s="2">
        <f t="shared" ref="D29" si="51">D28/D26</f>
        <v>4.8999999999999998E-5</v>
      </c>
      <c r="E29" s="2">
        <f t="shared" ref="E29" si="52">E28/E26</f>
        <v>5.2900000000000005E-5</v>
      </c>
      <c r="F29" s="2">
        <f t="shared" ref="F29" si="53">F28/F26</f>
        <v>5.6800000000000005E-5</v>
      </c>
      <c r="G29" s="2">
        <f t="shared" ref="G29" si="54">G28/G26</f>
        <v>6.0299999999999995E-5</v>
      </c>
      <c r="H29" s="2">
        <f t="shared" ref="H29" si="55">H28/H26</f>
        <v>7.86E-5</v>
      </c>
      <c r="I29" s="2">
        <f t="shared" ref="I29" si="56">I28/I26</f>
        <v>9.520000000000001E-5</v>
      </c>
      <c r="J29" s="2">
        <f t="shared" ref="J29:K29" si="57">J28/J26</f>
        <v>1.032E-4</v>
      </c>
      <c r="K29" s="2">
        <f t="shared" si="57"/>
        <v>7.6580000000000007E-4</v>
      </c>
    </row>
    <row r="30" spans="1:11" x14ac:dyDescent="0.2">
      <c r="A30" s="8" t="s">
        <v>8</v>
      </c>
      <c r="B30" s="1" t="s">
        <v>2</v>
      </c>
      <c r="C30" s="1">
        <v>10000</v>
      </c>
      <c r="D30" s="1">
        <v>10000</v>
      </c>
      <c r="E30" s="1">
        <v>10000</v>
      </c>
      <c r="F30" s="1">
        <v>10000</v>
      </c>
      <c r="G30" s="1">
        <v>10000</v>
      </c>
      <c r="H30" s="1">
        <v>10000</v>
      </c>
      <c r="I30" s="1">
        <v>10000</v>
      </c>
      <c r="J30" s="1">
        <v>10000</v>
      </c>
      <c r="K30" s="3">
        <v>10000</v>
      </c>
    </row>
    <row r="31" spans="1:11" x14ac:dyDescent="0.2">
      <c r="A31" s="9"/>
      <c r="B31" s="1" t="s">
        <v>3</v>
      </c>
      <c r="C31" s="1">
        <v>818</v>
      </c>
      <c r="D31" s="1">
        <v>1004</v>
      </c>
      <c r="E31" s="1">
        <v>1020</v>
      </c>
      <c r="F31" s="1">
        <v>1092</v>
      </c>
      <c r="G31" s="1">
        <v>1028</v>
      </c>
      <c r="H31" s="1">
        <v>1072</v>
      </c>
      <c r="I31" s="1">
        <v>1040</v>
      </c>
      <c r="J31" s="1">
        <v>1045</v>
      </c>
      <c r="K31" s="3">
        <v>1013</v>
      </c>
    </row>
    <row r="32" spans="1:11" x14ac:dyDescent="0.2">
      <c r="A32" s="9"/>
      <c r="B32" s="1" t="s">
        <v>4</v>
      </c>
      <c r="C32" s="1">
        <f>C31*0.001</f>
        <v>0.81800000000000006</v>
      </c>
      <c r="D32" s="1">
        <f t="shared" ref="D32" si="58">D31*0.001</f>
        <v>1.004</v>
      </c>
      <c r="E32" s="1">
        <f t="shared" ref="E32" si="59">E31*0.001</f>
        <v>1.02</v>
      </c>
      <c r="F32" s="1">
        <f t="shared" ref="F32" si="60">F31*0.001</f>
        <v>1.0920000000000001</v>
      </c>
      <c r="G32" s="1">
        <f t="shared" ref="G32" si="61">G31*0.001</f>
        <v>1.028</v>
      </c>
      <c r="H32" s="1">
        <f t="shared" ref="H32" si="62">H31*0.001</f>
        <v>1.0720000000000001</v>
      </c>
      <c r="I32" s="1">
        <f t="shared" ref="I32" si="63">I31*0.001</f>
        <v>1.04</v>
      </c>
      <c r="J32" s="1">
        <f t="shared" ref="J32:K32" si="64">J31*0.001</f>
        <v>1.0449999999999999</v>
      </c>
      <c r="K32" s="1">
        <f t="shared" si="64"/>
        <v>1.0130000000000001</v>
      </c>
    </row>
    <row r="33" spans="1:11" x14ac:dyDescent="0.2">
      <c r="A33" s="10"/>
      <c r="B33" s="1" t="s">
        <v>11</v>
      </c>
      <c r="C33" s="2">
        <f>C32/C30</f>
        <v>8.180000000000001E-5</v>
      </c>
      <c r="D33" s="2">
        <f t="shared" ref="D33" si="65">D32/D30</f>
        <v>1.004E-4</v>
      </c>
      <c r="E33" s="2">
        <f t="shared" ref="E33" si="66">E32/E30</f>
        <v>1.02E-4</v>
      </c>
      <c r="F33" s="2">
        <f t="shared" ref="F33" si="67">F32/F30</f>
        <v>1.0920000000000001E-4</v>
      </c>
      <c r="G33" s="2">
        <f t="shared" ref="G33" si="68">G32/G30</f>
        <v>1.0280000000000001E-4</v>
      </c>
      <c r="H33" s="2">
        <f t="shared" ref="H33" si="69">H32/H30</f>
        <v>1.072E-4</v>
      </c>
      <c r="I33" s="2">
        <f t="shared" ref="I33" si="70">I32/I30</f>
        <v>1.0400000000000001E-4</v>
      </c>
      <c r="J33" s="2">
        <f t="shared" ref="J33:K33" si="71">J32/J30</f>
        <v>1.0449999999999999E-4</v>
      </c>
      <c r="K33" s="2">
        <f t="shared" si="71"/>
        <v>1.0130000000000001E-4</v>
      </c>
    </row>
  </sheetData>
  <mergeCells count="6">
    <mergeCell ref="A30:A33"/>
    <mergeCell ref="A2:A5"/>
    <mergeCell ref="A6:A9"/>
    <mergeCell ref="A14:A17"/>
    <mergeCell ref="A18:A21"/>
    <mergeCell ref="A26:A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2025-03-11T12:22:52Z</dcterms:modified>
</cp:coreProperties>
</file>