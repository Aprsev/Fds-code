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ZJU\ACEE\fds\"/>
    </mc:Choice>
  </mc:AlternateContent>
  <xr:revisionPtr revIDLastSave="0" documentId="13_ncr:1_{408D42DD-5707-4540-A251-94017067B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1" l="1"/>
  <c r="K54" i="1" s="1"/>
  <c r="K57" i="1"/>
  <c r="K58" i="1" s="1"/>
  <c r="C78" i="1"/>
  <c r="C77" i="1"/>
  <c r="K91" i="1"/>
  <c r="K92" i="1" s="1"/>
  <c r="K95" i="1"/>
  <c r="K96" i="1" s="1"/>
  <c r="K81" i="1"/>
  <c r="K82" i="1" s="1"/>
  <c r="K66" i="1"/>
  <c r="K67" i="1" s="1"/>
  <c r="K70" i="1"/>
  <c r="K71" i="1"/>
  <c r="J95" i="1"/>
  <c r="J96" i="1" s="1"/>
  <c r="I95" i="1"/>
  <c r="I96" i="1" s="1"/>
  <c r="H95" i="1"/>
  <c r="H96" i="1" s="1"/>
  <c r="G95" i="1"/>
  <c r="G96" i="1" s="1"/>
  <c r="F95" i="1"/>
  <c r="F96" i="1" s="1"/>
  <c r="E95" i="1"/>
  <c r="E96" i="1" s="1"/>
  <c r="D95" i="1"/>
  <c r="D96" i="1" s="1"/>
  <c r="C95" i="1"/>
  <c r="C96" i="1" s="1"/>
  <c r="J91" i="1"/>
  <c r="J92" i="1" s="1"/>
  <c r="I91" i="1"/>
  <c r="I92" i="1" s="1"/>
  <c r="H91" i="1"/>
  <c r="H92" i="1" s="1"/>
  <c r="G91" i="1"/>
  <c r="G92" i="1" s="1"/>
  <c r="F91" i="1"/>
  <c r="F92" i="1" s="1"/>
  <c r="E91" i="1"/>
  <c r="E92" i="1" s="1"/>
  <c r="D91" i="1"/>
  <c r="D92" i="1" s="1"/>
  <c r="C91" i="1"/>
  <c r="C92" i="1" s="1"/>
  <c r="J81" i="1"/>
  <c r="J82" i="1" s="1"/>
  <c r="I81" i="1"/>
  <c r="I82" i="1" s="1"/>
  <c r="H81" i="1"/>
  <c r="H82" i="1" s="1"/>
  <c r="G81" i="1"/>
  <c r="G82" i="1" s="1"/>
  <c r="F81" i="1"/>
  <c r="F82" i="1" s="1"/>
  <c r="E81" i="1"/>
  <c r="E82" i="1" s="1"/>
  <c r="D81" i="1"/>
  <c r="D82" i="1" s="1"/>
  <c r="C81" i="1"/>
  <c r="C82" i="1" s="1"/>
  <c r="K77" i="1"/>
  <c r="K78" i="1" s="1"/>
  <c r="J77" i="1"/>
  <c r="J78" i="1" s="1"/>
  <c r="I77" i="1"/>
  <c r="I78" i="1" s="1"/>
  <c r="H77" i="1"/>
  <c r="H78" i="1" s="1"/>
  <c r="G77" i="1"/>
  <c r="G78" i="1" s="1"/>
  <c r="F77" i="1"/>
  <c r="F78" i="1" s="1"/>
  <c r="E77" i="1"/>
  <c r="E78" i="1" s="1"/>
  <c r="D77" i="1"/>
  <c r="D78" i="1" s="1"/>
  <c r="J70" i="1"/>
  <c r="J71" i="1" s="1"/>
  <c r="I70" i="1"/>
  <c r="I71" i="1" s="1"/>
  <c r="H70" i="1"/>
  <c r="H71" i="1" s="1"/>
  <c r="G70" i="1"/>
  <c r="G71" i="1" s="1"/>
  <c r="F70" i="1"/>
  <c r="F71" i="1" s="1"/>
  <c r="E70" i="1"/>
  <c r="E71" i="1" s="1"/>
  <c r="D70" i="1"/>
  <c r="D71" i="1" s="1"/>
  <c r="C70" i="1"/>
  <c r="C71" i="1" s="1"/>
  <c r="J66" i="1"/>
  <c r="J67" i="1" s="1"/>
  <c r="I66" i="1"/>
  <c r="I67" i="1" s="1"/>
  <c r="H66" i="1"/>
  <c r="H67" i="1" s="1"/>
  <c r="G66" i="1"/>
  <c r="G67" i="1" s="1"/>
  <c r="F66" i="1"/>
  <c r="F67" i="1" s="1"/>
  <c r="E66" i="1"/>
  <c r="E67" i="1" s="1"/>
  <c r="D66" i="1"/>
  <c r="D67" i="1" s="1"/>
  <c r="C66" i="1"/>
  <c r="C67" i="1" s="1"/>
  <c r="J57" i="1"/>
  <c r="J58" i="1" s="1"/>
  <c r="I57" i="1"/>
  <c r="I58" i="1" s="1"/>
  <c r="H57" i="1"/>
  <c r="H58" i="1" s="1"/>
  <c r="G57" i="1"/>
  <c r="G58" i="1" s="1"/>
  <c r="F57" i="1"/>
  <c r="F58" i="1" s="1"/>
  <c r="E57" i="1"/>
  <c r="E58" i="1" s="1"/>
  <c r="D57" i="1"/>
  <c r="D58" i="1" s="1"/>
  <c r="C57" i="1"/>
  <c r="C58" i="1" s="1"/>
  <c r="J53" i="1"/>
  <c r="J54" i="1" s="1"/>
  <c r="I53" i="1"/>
  <c r="I54" i="1" s="1"/>
  <c r="H53" i="1"/>
  <c r="H54" i="1" s="1"/>
  <c r="G53" i="1"/>
  <c r="G54" i="1" s="1"/>
  <c r="F53" i="1"/>
  <c r="F54" i="1" s="1"/>
  <c r="E53" i="1"/>
  <c r="E54" i="1" s="1"/>
  <c r="D53" i="1"/>
  <c r="D54" i="1" s="1"/>
  <c r="C53" i="1"/>
  <c r="C54" i="1" s="1"/>
  <c r="J45" i="1"/>
  <c r="J46" i="1" s="1"/>
  <c r="I45" i="1"/>
  <c r="I46" i="1" s="1"/>
  <c r="H45" i="1"/>
  <c r="H46" i="1" s="1"/>
  <c r="G45" i="1"/>
  <c r="G46" i="1" s="1"/>
  <c r="F45" i="1"/>
  <c r="F46" i="1" s="1"/>
  <c r="E45" i="1"/>
  <c r="E46" i="1" s="1"/>
  <c r="D45" i="1"/>
  <c r="D46" i="1" s="1"/>
  <c r="C45" i="1"/>
  <c r="C46" i="1" s="1"/>
  <c r="J41" i="1"/>
  <c r="J42" i="1" s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C41" i="1"/>
  <c r="C42" i="1" s="1"/>
  <c r="K32" i="1"/>
  <c r="K33" i="1" s="1"/>
  <c r="K28" i="1"/>
  <c r="K29" i="1"/>
  <c r="I9" i="1"/>
  <c r="H9" i="1"/>
  <c r="G9" i="1"/>
  <c r="E9" i="1"/>
  <c r="J32" i="1"/>
  <c r="J33" i="1" s="1"/>
  <c r="I32" i="1"/>
  <c r="I33" i="1" s="1"/>
  <c r="H32" i="1"/>
  <c r="H33" i="1" s="1"/>
  <c r="G32" i="1"/>
  <c r="G33" i="1" s="1"/>
  <c r="F32" i="1"/>
  <c r="F33" i="1" s="1"/>
  <c r="E32" i="1"/>
  <c r="E33" i="1" s="1"/>
  <c r="D32" i="1"/>
  <c r="D33" i="1" s="1"/>
  <c r="C32" i="1"/>
  <c r="C33" i="1" s="1"/>
  <c r="J28" i="1"/>
  <c r="J29" i="1" s="1"/>
  <c r="I28" i="1"/>
  <c r="I29" i="1" s="1"/>
  <c r="H28" i="1"/>
  <c r="H29" i="1" s="1"/>
  <c r="G28" i="1"/>
  <c r="G29" i="1" s="1"/>
  <c r="F28" i="1"/>
  <c r="F29" i="1" s="1"/>
  <c r="E28" i="1"/>
  <c r="E29" i="1" s="1"/>
  <c r="D28" i="1"/>
  <c r="D29" i="1" s="1"/>
  <c r="C28" i="1"/>
  <c r="C29" i="1" s="1"/>
  <c r="J20" i="1"/>
  <c r="J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J16" i="1"/>
  <c r="J17" i="1" s="1"/>
  <c r="I16" i="1"/>
  <c r="I17" i="1" s="1"/>
  <c r="H16" i="1"/>
  <c r="H17" i="1" s="1"/>
  <c r="G16" i="1"/>
  <c r="G17" i="1" s="1"/>
  <c r="F16" i="1"/>
  <c r="F17" i="1" s="1"/>
  <c r="E16" i="1"/>
  <c r="E17" i="1" s="1"/>
  <c r="D16" i="1"/>
  <c r="D17" i="1" s="1"/>
  <c r="C16" i="1"/>
  <c r="C17" i="1" s="1"/>
  <c r="J8" i="1"/>
  <c r="J9" i="1" s="1"/>
  <c r="I8" i="1"/>
  <c r="H8" i="1"/>
  <c r="G8" i="1"/>
  <c r="F8" i="1"/>
  <c r="F9" i="1" s="1"/>
  <c r="E8" i="1"/>
  <c r="D8" i="1"/>
  <c r="D9" i="1" s="1"/>
  <c r="C8" i="1"/>
  <c r="C9" i="1" s="1"/>
  <c r="D4" i="1"/>
  <c r="D5" i="1" s="1"/>
  <c r="E4" i="1"/>
  <c r="E5" i="1" s="1"/>
  <c r="F4" i="1"/>
  <c r="F5" i="1" s="1"/>
  <c r="G4" i="1"/>
  <c r="G5" i="1" s="1"/>
  <c r="H4" i="1"/>
  <c r="H5" i="1" s="1"/>
  <c r="I4" i="1"/>
  <c r="I5" i="1" s="1"/>
  <c r="J4" i="1"/>
  <c r="J5" i="1" s="1"/>
  <c r="C4" i="1"/>
  <c r="C5" i="1" s="1"/>
</calcChain>
</file>

<file path=xl/sharedStrings.xml><?xml version="1.0" encoding="utf-8"?>
<sst xmlns="http://schemas.openxmlformats.org/spreadsheetml/2006/main" count="113" uniqueCount="17">
  <si>
    <t>V=1000</t>
    <phoneticPr fontId="1" type="noConversion"/>
  </si>
  <si>
    <t>N</t>
    <phoneticPr fontId="1" type="noConversion"/>
  </si>
  <si>
    <t>Iterations(K)</t>
    <phoneticPr fontId="1" type="noConversion"/>
  </si>
  <si>
    <t>Ticks</t>
    <phoneticPr fontId="1" type="noConversion"/>
  </si>
  <si>
    <t>Total Time(sec)</t>
    <phoneticPr fontId="1" type="noConversion"/>
  </si>
  <si>
    <t>Brute-force search</t>
  </si>
  <si>
    <t>Brute-force search</t>
    <phoneticPr fontId="1" type="noConversion"/>
  </si>
  <si>
    <t>Divide and conquer</t>
  </si>
  <si>
    <t>Divide and conquer</t>
    <phoneticPr fontId="1" type="noConversion"/>
  </si>
  <si>
    <t>V=10000</t>
    <phoneticPr fontId="1" type="noConversion"/>
  </si>
  <si>
    <t>V=100000</t>
    <phoneticPr fontId="1" type="noConversion"/>
  </si>
  <si>
    <t>Duration(sec)</t>
    <phoneticPr fontId="1" type="noConversion"/>
  </si>
  <si>
    <t>V=5000</t>
    <phoneticPr fontId="1" type="noConversion"/>
  </si>
  <si>
    <t>V=20000</t>
    <phoneticPr fontId="1" type="noConversion"/>
  </si>
  <si>
    <t>V=40000</t>
    <phoneticPr fontId="1" type="noConversion"/>
  </si>
  <si>
    <t>V=60000</t>
    <phoneticPr fontId="1" type="noConversion"/>
  </si>
  <si>
    <t>V=80000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</si>
</sst>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Sheet1!$O$8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Sheet1!$P$7:$W$7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Sheet1!$P$8:$W$8</c:f>
              <c:numCache>
                <c:formatCode>0.00E+00</c:formatCode>
                <c:ptCount val="8"/>
                <c:pt idx="0">
                  <c:v>2.1000000000000002E-6</c:v>
                </c:pt>
                <c:pt idx="1">
                  <c:v>3.1999999999999999E-6</c:v>
                </c:pt>
                <c:pt idx="2">
                  <c:v>9.9000000000000001E-6</c:v>
                </c:pt>
                <c:pt idx="3">
                  <c:v>1.27E-5</c:v>
                </c:pt>
                <c:pt idx="4">
                  <c:v>2.8300000000000003E-5</c:v>
                </c:pt>
                <c:pt idx="5">
                  <c:v>3.3500000000000001E-5</c:v>
                </c:pt>
                <c:pt idx="6">
                  <c:v>7.3899999999999994E-5</c:v>
                </c:pt>
                <c:pt idx="7">
                  <c:v>7.4400000000000006E-5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9-47F5-BCC2-99A327AA869E}"/>
            </c:ext>
          </c:extLst>
        </c:ser>
        <c:ser>
          <c:idx val="1"/>
          <c:order val="1"/>
          <c:tx>
            <c:strRef>
              <c:f>Sheet1!$O$9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Sheet1!$P$7:$W$7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Sheet1!$P$9:$W$9</c:f>
              <c:numCache>
                <c:formatCode>0.00E+00</c:formatCode>
                <c:ptCount val="8"/>
                <c:pt idx="0">
                  <c:v>3.1999999999999999E-6</c:v>
                </c:pt>
                <c:pt idx="1">
                  <c:v>2.9000000000000002E-6</c:v>
                </c:pt>
                <c:pt idx="2">
                  <c:v>3.1999999999999999E-6</c:v>
                </c:pt>
                <c:pt idx="3">
                  <c:v>2.7999999999999999E-6</c:v>
                </c:pt>
                <c:pt idx="4">
                  <c:v>3.1E-6</c:v>
                </c:pt>
                <c:pt idx="5">
                  <c:v>3.6000000000000003E-6</c:v>
                </c:pt>
                <c:pt idx="6">
                  <c:v>3.5000000000000004E-6</c:v>
                </c:pt>
                <c:pt idx="7">
                  <c:v>4.1000000000000006E-6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9-47F5-BCC2-99A327AA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376744"/>
        <c:axId val="646377400"/>
      </c:lineChart>
      <c:catAx>
        <c:axId val="646376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377400"/>
        <c:crosses val="autoZero"/>
        <c:auto val="1"/>
        <c:lblAlgn val="ctr"/>
        <c:lblOffset val="100"/>
        <c:noMultiLvlLbl val="0"/>
      </c:catAx>
      <c:valAx>
        <c:axId val="64637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3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Sheet1!$O$11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Sheet1!$P$10:$W$10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Sheet1!$P$11:$W$11</c:f>
              <c:numCache>
                <c:formatCode>0.00E+00</c:formatCode>
                <c:ptCount val="8"/>
                <c:pt idx="0">
                  <c:v>1.4200000000000001E-5</c:v>
                </c:pt>
                <c:pt idx="1">
                  <c:v>1.6200000000000001E-5</c:v>
                </c:pt>
                <c:pt idx="2">
                  <c:v>2.1399999999999998E-5</c:v>
                </c:pt>
                <c:pt idx="3">
                  <c:v>2.9099999999999999E-5</c:v>
                </c:pt>
                <c:pt idx="4">
                  <c:v>5.8399999999999997E-5</c:v>
                </c:pt>
                <c:pt idx="5">
                  <c:v>6.9200000000000002E-5</c:v>
                </c:pt>
                <c:pt idx="6">
                  <c:v>6.5500000000000006E-5</c:v>
                </c:pt>
                <c:pt idx="7">
                  <c:v>8.53E-5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A-4A9C-830B-5D36085BAAD3}"/>
            </c:ext>
          </c:extLst>
        </c:ser>
        <c:ser>
          <c:idx val="1"/>
          <c:order val="1"/>
          <c:tx>
            <c:strRef>
              <c:f>Sheet1!$O$12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Sheet1!$P$10:$W$10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Sheet1!$P$12:$W$12</c:f>
              <c:numCache>
                <c:formatCode>0.00E+00</c:formatCode>
                <c:ptCount val="8"/>
                <c:pt idx="0">
                  <c:v>2.8300000000000003E-5</c:v>
                </c:pt>
                <c:pt idx="1">
                  <c:v>3.15E-5</c:v>
                </c:pt>
                <c:pt idx="2">
                  <c:v>3.1300000000000002E-5</c:v>
                </c:pt>
                <c:pt idx="3">
                  <c:v>3.1600000000000002E-5</c:v>
                </c:pt>
                <c:pt idx="4">
                  <c:v>3.2700000000000002E-5</c:v>
                </c:pt>
                <c:pt idx="5">
                  <c:v>3.2500000000000004E-5</c:v>
                </c:pt>
                <c:pt idx="6">
                  <c:v>3.6199999999999999E-5</c:v>
                </c:pt>
                <c:pt idx="7">
                  <c:v>3.1199999999999999E-5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A-4A9C-830B-5D36085BA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170488"/>
        <c:axId val="638174752"/>
      </c:lineChart>
      <c:catAx>
        <c:axId val="638170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54797790901137355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174752"/>
        <c:crosses val="autoZero"/>
        <c:auto val="1"/>
        <c:lblAlgn val="ctr"/>
        <c:lblOffset val="100"/>
        <c:noMultiLvlLbl val="0"/>
      </c:catAx>
      <c:valAx>
        <c:axId val="6381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17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V=100000(added)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Sheet1!$O$14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Sheet1!$P$13:$X$13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Sheet1!$P$14:$X$14</c:f>
              <c:numCache>
                <c:formatCode>0.00E+00</c:formatCode>
                <c:ptCount val="9"/>
                <c:pt idx="0">
                  <c:v>3.68E-5</c:v>
                </c:pt>
                <c:pt idx="1">
                  <c:v>4.8999999999999998E-5</c:v>
                </c:pt>
                <c:pt idx="2">
                  <c:v>5.2900000000000005E-5</c:v>
                </c:pt>
                <c:pt idx="3">
                  <c:v>5.6800000000000005E-5</c:v>
                </c:pt>
                <c:pt idx="4">
                  <c:v>6.0299999999999995E-5</c:v>
                </c:pt>
                <c:pt idx="5">
                  <c:v>7.86E-5</c:v>
                </c:pt>
                <c:pt idx="6">
                  <c:v>9.520000000000001E-5</c:v>
                </c:pt>
                <c:pt idx="7">
                  <c:v>1.032E-4</c:v>
                </c:pt>
                <c:pt idx="8">
                  <c:v>7.6580000000000007E-4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D-43D5-B3D5-EB8998702A86}"/>
            </c:ext>
          </c:extLst>
        </c:ser>
        <c:ser>
          <c:idx val="1"/>
          <c:order val="1"/>
          <c:tx>
            <c:strRef>
              <c:f>Sheet1!$O$15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Sheet1!$P$13:$X$13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Sheet1!$P$15:$X$15</c:f>
              <c:numCache>
                <c:formatCode>0.00E+00</c:formatCode>
                <c:ptCount val="9"/>
                <c:pt idx="0">
                  <c:v>8.180000000000001E-5</c:v>
                </c:pt>
                <c:pt idx="1">
                  <c:v>1.004E-4</c:v>
                </c:pt>
                <c:pt idx="2">
                  <c:v>1.02E-4</c:v>
                </c:pt>
                <c:pt idx="3">
                  <c:v>1.0920000000000001E-4</c:v>
                </c:pt>
                <c:pt idx="4">
                  <c:v>1.0280000000000001E-4</c:v>
                </c:pt>
                <c:pt idx="5">
                  <c:v>1.072E-4</c:v>
                </c:pt>
                <c:pt idx="6">
                  <c:v>1.0400000000000001E-4</c:v>
                </c:pt>
                <c:pt idx="7">
                  <c:v>1.0449999999999999E-4</c:v>
                </c:pt>
                <c:pt idx="8">
                  <c:v>1.0130000000000001E-4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D-43D5-B3D5-EB8998702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142392"/>
        <c:axId val="721142720"/>
      </c:lineChart>
      <c:catAx>
        <c:axId val="72114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142720"/>
        <c:crosses val="autoZero"/>
        <c:auto val="1"/>
        <c:lblAlgn val="ctr"/>
        <c:lblOffset val="100"/>
        <c:noMultiLvlLbl val="0"/>
      </c:catAx>
      <c:valAx>
        <c:axId val="7211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14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Sheet1!$O$57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Sheet1!$P$56:$W$56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Sheet1!$P$57:$W$57</c:f>
              <c:numCache>
                <c:formatCode>0.00E+00</c:formatCode>
                <c:ptCount val="8"/>
                <c:pt idx="0">
                  <c:v>7.2000000000000005E-6</c:v>
                </c:pt>
                <c:pt idx="1">
                  <c:v>7.9000000000000006E-6</c:v>
                </c:pt>
                <c:pt idx="2">
                  <c:v>9.5999999999999996E-6</c:v>
                </c:pt>
                <c:pt idx="3">
                  <c:v>1.31E-5</c:v>
                </c:pt>
                <c:pt idx="4">
                  <c:v>2.2800000000000002E-5</c:v>
                </c:pt>
                <c:pt idx="5">
                  <c:v>3.9800000000000005E-5</c:v>
                </c:pt>
                <c:pt idx="6">
                  <c:v>5.1600000000000001E-5</c:v>
                </c:pt>
                <c:pt idx="7">
                  <c:v>9.8499999999999995E-5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4-4D53-A228-9A50C1BF186D}"/>
            </c:ext>
          </c:extLst>
        </c:ser>
        <c:ser>
          <c:idx val="1"/>
          <c:order val="1"/>
          <c:tx>
            <c:strRef>
              <c:f>Sheet1!$O$58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Sheet1!$P$56:$W$56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Sheet1!$P$58:$W$58</c:f>
              <c:numCache>
                <c:formatCode>0.00E+00</c:formatCode>
                <c:ptCount val="8"/>
                <c:pt idx="0">
                  <c:v>1.5699999999999999E-5</c:v>
                </c:pt>
                <c:pt idx="1">
                  <c:v>1.5999999999999999E-5</c:v>
                </c:pt>
                <c:pt idx="2">
                  <c:v>1.7400000000000003E-5</c:v>
                </c:pt>
                <c:pt idx="3">
                  <c:v>1.8099999999999999E-5</c:v>
                </c:pt>
                <c:pt idx="4">
                  <c:v>1.6200000000000001E-5</c:v>
                </c:pt>
                <c:pt idx="5">
                  <c:v>1.7E-5</c:v>
                </c:pt>
                <c:pt idx="6">
                  <c:v>1.6800000000000002E-5</c:v>
                </c:pt>
                <c:pt idx="7">
                  <c:v>1.6699999999999999E-5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4-4D53-A228-9A50C1BF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765520"/>
        <c:axId val="800770112"/>
      </c:lineChart>
      <c:catAx>
        <c:axId val="80076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50416557305336829"/>
              <c:y val="0.775809638378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770112"/>
        <c:crosses val="autoZero"/>
        <c:auto val="1"/>
        <c:lblAlgn val="ctr"/>
        <c:lblOffset val="100"/>
        <c:noMultiLvlLbl val="0"/>
      </c:catAx>
      <c:valAx>
        <c:axId val="8007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7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V=20000(added)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Sheet1!$O$60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Sheet1!$P$59:$X$59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Sheet1!$P$60:$X$60</c:f>
              <c:numCache>
                <c:formatCode>0.00E+00</c:formatCode>
                <c:ptCount val="9"/>
                <c:pt idx="0">
                  <c:v>2.4199999999999999E-5</c:v>
                </c:pt>
                <c:pt idx="1">
                  <c:v>3.15E-5</c:v>
                </c:pt>
                <c:pt idx="2">
                  <c:v>3.2800000000000004E-5</c:v>
                </c:pt>
                <c:pt idx="3">
                  <c:v>3.4400000000000003E-5</c:v>
                </c:pt>
                <c:pt idx="4">
                  <c:v>4.3900000000000003E-5</c:v>
                </c:pt>
                <c:pt idx="5">
                  <c:v>6.3999999999999997E-5</c:v>
                </c:pt>
                <c:pt idx="6">
                  <c:v>5.6300000000000006E-5</c:v>
                </c:pt>
                <c:pt idx="7">
                  <c:v>7.9200000000000001E-5</c:v>
                </c:pt>
                <c:pt idx="8">
                  <c:v>4.615E-4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C-49FA-92F5-A2E91A119541}"/>
            </c:ext>
          </c:extLst>
        </c:ser>
        <c:ser>
          <c:idx val="1"/>
          <c:order val="1"/>
          <c:tx>
            <c:strRef>
              <c:f>Sheet1!$O$61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Sheet1!$P$59:$X$59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Sheet1!$P$61:$X$61</c:f>
              <c:numCache>
                <c:formatCode>0.00E+00</c:formatCode>
                <c:ptCount val="9"/>
                <c:pt idx="0">
                  <c:v>5.2900000000000005E-5</c:v>
                </c:pt>
                <c:pt idx="1">
                  <c:v>6.41E-5</c:v>
                </c:pt>
                <c:pt idx="2">
                  <c:v>6.1699999999999995E-5</c:v>
                </c:pt>
                <c:pt idx="3">
                  <c:v>6.4200000000000002E-5</c:v>
                </c:pt>
                <c:pt idx="4">
                  <c:v>6.6000000000000005E-5</c:v>
                </c:pt>
                <c:pt idx="5">
                  <c:v>6.7700000000000006E-5</c:v>
                </c:pt>
                <c:pt idx="6">
                  <c:v>6.58E-5</c:v>
                </c:pt>
                <c:pt idx="7">
                  <c:v>7.1500000000000003E-5</c:v>
                </c:pt>
                <c:pt idx="8">
                  <c:v>6.5199999999999999E-5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C-49FA-92F5-A2E91A119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905448"/>
        <c:axId val="679904792"/>
      </c:lineChart>
      <c:catAx>
        <c:axId val="679905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904792"/>
        <c:crosses val="autoZero"/>
        <c:auto val="1"/>
        <c:lblAlgn val="ctr"/>
        <c:lblOffset val="100"/>
        <c:noMultiLvlLbl val="0"/>
      </c:catAx>
      <c:valAx>
        <c:axId val="67990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90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V=20000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Sheet1!$O$60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Sheet1!$P$59:$W$59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Sheet1!$P$60:$W$60</c:f>
              <c:numCache>
                <c:formatCode>0.00E+00</c:formatCode>
                <c:ptCount val="8"/>
                <c:pt idx="0">
                  <c:v>2.4199999999999999E-5</c:v>
                </c:pt>
                <c:pt idx="1">
                  <c:v>3.15E-5</c:v>
                </c:pt>
                <c:pt idx="2">
                  <c:v>3.2800000000000004E-5</c:v>
                </c:pt>
                <c:pt idx="3">
                  <c:v>3.4400000000000003E-5</c:v>
                </c:pt>
                <c:pt idx="4">
                  <c:v>4.3900000000000003E-5</c:v>
                </c:pt>
                <c:pt idx="5">
                  <c:v>6.3999999999999997E-5</c:v>
                </c:pt>
                <c:pt idx="6">
                  <c:v>5.6300000000000006E-5</c:v>
                </c:pt>
                <c:pt idx="7">
                  <c:v>7.9200000000000001E-5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B-40B2-B9FC-74526B7D2816}"/>
            </c:ext>
          </c:extLst>
        </c:ser>
        <c:ser>
          <c:idx val="1"/>
          <c:order val="1"/>
          <c:tx>
            <c:strRef>
              <c:f>Sheet1!$O$61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Sheet1!$P$59:$W$59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Sheet1!$P$61:$W$61</c:f>
              <c:numCache>
                <c:formatCode>0.00E+00</c:formatCode>
                <c:ptCount val="8"/>
                <c:pt idx="0">
                  <c:v>5.2900000000000005E-5</c:v>
                </c:pt>
                <c:pt idx="1">
                  <c:v>6.41E-5</c:v>
                </c:pt>
                <c:pt idx="2">
                  <c:v>6.1699999999999995E-5</c:v>
                </c:pt>
                <c:pt idx="3">
                  <c:v>6.4200000000000002E-5</c:v>
                </c:pt>
                <c:pt idx="4">
                  <c:v>6.6000000000000005E-5</c:v>
                </c:pt>
                <c:pt idx="5">
                  <c:v>6.7700000000000006E-5</c:v>
                </c:pt>
                <c:pt idx="6">
                  <c:v>6.58E-5</c:v>
                </c:pt>
                <c:pt idx="7">
                  <c:v>7.1500000000000003E-5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AB-40B2-B9FC-74526B7D2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989216"/>
        <c:axId val="527990528"/>
      </c:lineChart>
      <c:catAx>
        <c:axId val="5279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990528"/>
        <c:crosses val="autoZero"/>
        <c:auto val="1"/>
        <c:lblAlgn val="ctr"/>
        <c:lblOffset val="100"/>
        <c:noMultiLvlLbl val="0"/>
      </c:catAx>
      <c:valAx>
        <c:axId val="5279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9737642169728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9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V=40000</a:t>
            </a:r>
            <a:r>
              <a:rPr lang="en-US" altLang="zh-CN" sz="1400" b="0" i="0" u="none" strike="noStrike" baseline="0">
                <a:effectLst/>
              </a:rPr>
              <a:t>(added)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Sheet1!$O$63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Sheet1!$P$62:$X$62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Sheet1!$P$63:$X$63</c:f>
              <c:numCache>
                <c:formatCode>0.00E+00</c:formatCode>
                <c:ptCount val="9"/>
                <c:pt idx="0">
                  <c:v>3.8300000000000003E-5</c:v>
                </c:pt>
                <c:pt idx="1">
                  <c:v>4.8000000000000001E-5</c:v>
                </c:pt>
                <c:pt idx="2">
                  <c:v>5.0699999999999999E-5</c:v>
                </c:pt>
                <c:pt idx="3">
                  <c:v>6.3600000000000001E-5</c:v>
                </c:pt>
                <c:pt idx="4">
                  <c:v>5.8999999999999998E-5</c:v>
                </c:pt>
                <c:pt idx="5">
                  <c:v>1.0569999999999999E-4</c:v>
                </c:pt>
                <c:pt idx="6">
                  <c:v>6.8400000000000009E-5</c:v>
                </c:pt>
                <c:pt idx="7">
                  <c:v>8.3100000000000001E-5</c:v>
                </c:pt>
                <c:pt idx="8">
                  <c:v>6.7750000000000004E-4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9-4619-BABE-B963CEE028B4}"/>
            </c:ext>
          </c:extLst>
        </c:ser>
        <c:ser>
          <c:idx val="1"/>
          <c:order val="1"/>
          <c:tx>
            <c:strRef>
              <c:f>Sheet1!$O$64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Sheet1!$P$62:$X$62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Sheet1!$P$64:$X$64</c:f>
              <c:numCache>
                <c:formatCode>0.00E+00</c:formatCode>
                <c:ptCount val="9"/>
                <c:pt idx="0">
                  <c:v>8.4099999999999998E-5</c:v>
                </c:pt>
                <c:pt idx="1">
                  <c:v>1.0640000000000001E-4</c:v>
                </c:pt>
                <c:pt idx="2">
                  <c:v>1.0680000000000001E-4</c:v>
                </c:pt>
                <c:pt idx="3">
                  <c:v>1.059E-4</c:v>
                </c:pt>
                <c:pt idx="4">
                  <c:v>1.078E-4</c:v>
                </c:pt>
                <c:pt idx="5">
                  <c:v>1.1020000000000001E-4</c:v>
                </c:pt>
                <c:pt idx="6">
                  <c:v>1.042E-4</c:v>
                </c:pt>
                <c:pt idx="7">
                  <c:v>1.06E-4</c:v>
                </c:pt>
                <c:pt idx="8">
                  <c:v>1.109E-4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9-4619-BABE-B963CEE0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174336"/>
        <c:axId val="528397016"/>
      </c:lineChart>
      <c:catAx>
        <c:axId val="53017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8397016"/>
        <c:crosses val="autoZero"/>
        <c:auto val="1"/>
        <c:lblAlgn val="ctr"/>
        <c:lblOffset val="100"/>
        <c:noMultiLvlLbl val="0"/>
      </c:catAx>
      <c:valAx>
        <c:axId val="52839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01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V=60000</a:t>
            </a:r>
            <a:r>
              <a:rPr lang="en-US" altLang="zh-CN" sz="1400" b="0" i="0" u="none" strike="noStrike" baseline="0">
                <a:effectLst/>
              </a:rPr>
              <a:t>(added)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Sheet1!$O$66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Sheet1!$P$65:$X$65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Sheet1!$P$66:$X$66</c:f>
              <c:numCache>
                <c:formatCode>0.00E+00</c:formatCode>
                <c:ptCount val="9"/>
                <c:pt idx="0">
                  <c:v>3.9200000000000004E-5</c:v>
                </c:pt>
                <c:pt idx="1">
                  <c:v>5.2500000000000002E-5</c:v>
                </c:pt>
                <c:pt idx="2">
                  <c:v>5.3300000000000001E-5</c:v>
                </c:pt>
                <c:pt idx="3">
                  <c:v>5.9599999999999999E-5</c:v>
                </c:pt>
                <c:pt idx="4">
                  <c:v>7.1199999999999996E-5</c:v>
                </c:pt>
                <c:pt idx="5">
                  <c:v>6.9300000000000004E-5</c:v>
                </c:pt>
                <c:pt idx="6">
                  <c:v>1.3880000000000001E-4</c:v>
                </c:pt>
                <c:pt idx="7">
                  <c:v>9.8200000000000002E-5</c:v>
                </c:pt>
                <c:pt idx="8">
                  <c:v>6.2759999999999997E-4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9-48A3-BA57-95627352EDD3}"/>
            </c:ext>
          </c:extLst>
        </c:ser>
        <c:ser>
          <c:idx val="1"/>
          <c:order val="1"/>
          <c:tx>
            <c:strRef>
              <c:f>Sheet1!$O$67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Sheet1!$P$65:$X$65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Sheet1!$P$67:$X$67</c:f>
              <c:numCache>
                <c:formatCode>0.00E+00</c:formatCode>
                <c:ptCount val="9"/>
                <c:pt idx="0">
                  <c:v>8.8900000000000006E-5</c:v>
                </c:pt>
                <c:pt idx="1">
                  <c:v>1.1100000000000001E-4</c:v>
                </c:pt>
                <c:pt idx="2">
                  <c:v>1.109E-4</c:v>
                </c:pt>
                <c:pt idx="3">
                  <c:v>1.1300000000000001E-4</c:v>
                </c:pt>
                <c:pt idx="4">
                  <c:v>1.0520000000000001E-4</c:v>
                </c:pt>
                <c:pt idx="5">
                  <c:v>1.1400000000000001E-4</c:v>
                </c:pt>
                <c:pt idx="6">
                  <c:v>1.199E-4</c:v>
                </c:pt>
                <c:pt idx="7">
                  <c:v>1.1999999999999999E-4</c:v>
                </c:pt>
                <c:pt idx="8">
                  <c:v>1.1790000000000001E-4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9-48A3-BA57-95627352E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690152"/>
        <c:axId val="535684248"/>
      </c:lineChart>
      <c:catAx>
        <c:axId val="535690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684248"/>
        <c:crosses val="autoZero"/>
        <c:auto val="1"/>
        <c:lblAlgn val="ctr"/>
        <c:lblOffset val="100"/>
        <c:noMultiLvlLbl val="0"/>
      </c:catAx>
      <c:valAx>
        <c:axId val="53568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69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V=80000</a:t>
            </a:r>
            <a:r>
              <a:rPr lang="en-US" altLang="zh-CN" sz="1400" b="0" i="0" u="none" strike="noStrike" baseline="0">
                <a:effectLst/>
              </a:rPr>
              <a:t>(added)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Sheet1!$O$69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Sheet1!$P$68:$X$68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Sheet1!$P$69:$X$69</c:f>
              <c:numCache>
                <c:formatCode>0.00E+00</c:formatCode>
                <c:ptCount val="9"/>
                <c:pt idx="0">
                  <c:v>3.9700000000000003E-5</c:v>
                </c:pt>
                <c:pt idx="1">
                  <c:v>5.2200000000000002E-5</c:v>
                </c:pt>
                <c:pt idx="2">
                  <c:v>6.6000000000000005E-5</c:v>
                </c:pt>
                <c:pt idx="3">
                  <c:v>5.8599999999999995E-5</c:v>
                </c:pt>
                <c:pt idx="4">
                  <c:v>7.2899999999999997E-5</c:v>
                </c:pt>
                <c:pt idx="5">
                  <c:v>7.960000000000001E-5</c:v>
                </c:pt>
                <c:pt idx="6">
                  <c:v>9.9400000000000004E-5</c:v>
                </c:pt>
                <c:pt idx="7">
                  <c:v>1.225E-4</c:v>
                </c:pt>
                <c:pt idx="8">
                  <c:v>7.8929999999999994E-4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3-4F5A-82AD-CF10F412FCC2}"/>
            </c:ext>
          </c:extLst>
        </c:ser>
        <c:ser>
          <c:idx val="1"/>
          <c:order val="1"/>
          <c:tx>
            <c:strRef>
              <c:f>Sheet1!$O$70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Sheet1!$P$68:$X$68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Sheet1!$P$70:$X$70</c:f>
              <c:numCache>
                <c:formatCode>0.00E+00</c:formatCode>
                <c:ptCount val="9"/>
                <c:pt idx="0">
                  <c:v>8.6500000000000002E-5</c:v>
                </c:pt>
                <c:pt idx="1">
                  <c:v>1.0740000000000001E-4</c:v>
                </c:pt>
                <c:pt idx="2">
                  <c:v>1.1959999999999999E-4</c:v>
                </c:pt>
                <c:pt idx="3">
                  <c:v>1.159E-4</c:v>
                </c:pt>
                <c:pt idx="4">
                  <c:v>1.1570000000000001E-4</c:v>
                </c:pt>
                <c:pt idx="5">
                  <c:v>1.1719999999999999E-4</c:v>
                </c:pt>
                <c:pt idx="6">
                  <c:v>1.25E-4</c:v>
                </c:pt>
                <c:pt idx="7">
                  <c:v>1.1160000000000002E-4</c:v>
                </c:pt>
                <c:pt idx="8">
                  <c:v>1.1009999999999999E-4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3-4F5A-82AD-CF10F412F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719600"/>
        <c:axId val="800728784"/>
      </c:lineChart>
      <c:catAx>
        <c:axId val="80071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728784"/>
        <c:crosses val="autoZero"/>
        <c:auto val="1"/>
        <c:lblAlgn val="ctr"/>
        <c:lblOffset val="100"/>
        <c:noMultiLvlLbl val="0"/>
      </c:catAx>
      <c:valAx>
        <c:axId val="8007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duration/s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71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204787</xdr:colOff>
      <xdr:row>17</xdr:row>
      <xdr:rowOff>38100</xdr:rowOff>
    </xdr:from>
    <xdr:to>
      <xdr:col>19</xdr:col>
      <xdr:colOff>4762</xdr:colOff>
      <xdr:row>32</xdr:row>
      <xdr:rowOff>66675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1587D0-E9A2-4385-8EA8-83C5E7A97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33</xdr:row>
      <xdr:rowOff>66675</xdr:rowOff>
    </xdr:from>
    <xdr:to>
      <xdr:col>18</xdr:col>
      <xdr:colOff>657225</xdr:colOff>
      <xdr:row>48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7337EA3-AC7E-4808-B6A3-BD539B35A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123824</xdr:colOff>
      <xdr:row>17</xdr:row>
      <xdr:rowOff>47625</xdr:rowOff>
    </xdr:from>
    <xdr:to>
      <xdr:col>26</xdr:col>
      <xdr:colOff>571499</xdr:colOff>
      <xdr:row>32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916BE6C-66EB-4F49-A8E6-8C5722A6E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366712</xdr:colOff>
      <xdr:row>70</xdr:row>
      <xdr:rowOff>152400</xdr:rowOff>
    </xdr:from>
    <xdr:to>
      <xdr:col>18</xdr:col>
      <xdr:colOff>166687</xdr:colOff>
      <xdr:row>86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DB367C-4578-40B9-938B-FB8D2FF1C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285750</xdr:colOff>
      <xdr:row>71</xdr:row>
      <xdr:rowOff>47625</xdr:rowOff>
    </xdr:from>
    <xdr:to>
      <xdr:col>25</xdr:col>
      <xdr:colOff>57150</xdr:colOff>
      <xdr:row>86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15AFBFC-E261-4105-B763-08B97C90B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400050</xdr:colOff>
      <xdr:row>86</xdr:row>
      <xdr:rowOff>114300</xdr:rowOff>
    </xdr:from>
    <xdr:to>
      <xdr:col>18</xdr:col>
      <xdr:colOff>200025</xdr:colOff>
      <xdr:row>101</xdr:row>
      <xdr:rowOff>142875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FE76D18-4351-4FE7-A411-2B084FABF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333374</xdr:colOff>
      <xdr:row>87</xdr:row>
      <xdr:rowOff>0</xdr:rowOff>
    </xdr:from>
    <xdr:to>
      <xdr:col>25</xdr:col>
      <xdr:colOff>419099</xdr:colOff>
      <xdr:row>102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0EB3CBE-71A2-4C27-B46C-44D369245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361949</xdr:colOff>
      <xdr:row>102</xdr:row>
      <xdr:rowOff>57150</xdr:rowOff>
    </xdr:from>
    <xdr:to>
      <xdr:col>18</xdr:col>
      <xdr:colOff>342899</xdr:colOff>
      <xdr:row>117</xdr:row>
      <xdr:rowOff>85725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E0BD22BD-60CA-496C-9A62-446CA11E6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390525</xdr:colOff>
      <xdr:row>102</xdr:row>
      <xdr:rowOff>133350</xdr:rowOff>
    </xdr:from>
    <xdr:to>
      <xdr:col>25</xdr:col>
      <xdr:colOff>542925</xdr:colOff>
      <xdr:row>117</xdr:row>
      <xdr:rowOff>161925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8EB9ED6-8EA3-4517-B279-B6E64E487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"/>
  <sheetViews>
    <sheetView tabSelected="1" topLeftCell="I10" workbookViewId="0">
      <selection activeCell="S122" sqref="S122"/>
    </sheetView>
  </sheetViews>
  <sheetFormatPr defaultRowHeight="14.25" x14ac:dyDescent="0.2"/>
  <cols>
    <col min="1" max="1" width="12.25" customWidth="1"/>
    <col min="2" max="2" width="14.5" customWidth="1"/>
    <col min="15" max="15" width="17.625" customWidth="1"/>
  </cols>
  <sheetData>
    <row r="1" spans="1:24" x14ac:dyDescent="0.2">
      <c r="A1" s="1" t="s">
        <v>0</v>
      </c>
      <c r="B1" s="1" t="s">
        <v>1</v>
      </c>
      <c r="C1" s="1">
        <v>1000</v>
      </c>
      <c r="D1" s="1">
        <v>5000</v>
      </c>
      <c r="E1" s="1">
        <v>10000</v>
      </c>
      <c r="F1" s="1">
        <v>20000</v>
      </c>
      <c r="G1" s="1">
        <v>40000</v>
      </c>
      <c r="H1" s="1">
        <v>60000</v>
      </c>
      <c r="I1" s="1">
        <v>80000</v>
      </c>
      <c r="J1" s="1">
        <v>100000</v>
      </c>
    </row>
    <row r="2" spans="1:24" x14ac:dyDescent="0.2">
      <c r="A2" s="10" t="s">
        <v>6</v>
      </c>
      <c r="B2" s="1" t="s">
        <v>2</v>
      </c>
      <c r="C2" s="1">
        <v>10000</v>
      </c>
      <c r="D2" s="1">
        <v>10000</v>
      </c>
      <c r="E2" s="1">
        <v>10000</v>
      </c>
      <c r="F2" s="1">
        <v>10000</v>
      </c>
      <c r="G2" s="1">
        <v>10000</v>
      </c>
      <c r="H2" s="1">
        <v>10000</v>
      </c>
      <c r="I2" s="1">
        <v>10000</v>
      </c>
      <c r="J2" s="1">
        <v>10000</v>
      </c>
    </row>
    <row r="3" spans="1:24" x14ac:dyDescent="0.2">
      <c r="A3" s="10"/>
      <c r="B3" s="1" t="s">
        <v>3</v>
      </c>
      <c r="C3" s="1">
        <v>21</v>
      </c>
      <c r="D3" s="1">
        <v>32</v>
      </c>
      <c r="E3" s="1">
        <v>99</v>
      </c>
      <c r="F3" s="1">
        <v>127</v>
      </c>
      <c r="G3" s="1">
        <v>283</v>
      </c>
      <c r="H3" s="1">
        <v>335</v>
      </c>
      <c r="I3" s="1">
        <v>739</v>
      </c>
      <c r="J3" s="1">
        <v>744</v>
      </c>
    </row>
    <row r="4" spans="1:24" x14ac:dyDescent="0.2">
      <c r="A4" s="10"/>
      <c r="B4" s="1" t="s">
        <v>4</v>
      </c>
      <c r="C4" s="1">
        <f>C3*0.001</f>
        <v>2.1000000000000001E-2</v>
      </c>
      <c r="D4" s="1">
        <f t="shared" ref="D4:J4" si="0">D3*0.001</f>
        <v>3.2000000000000001E-2</v>
      </c>
      <c r="E4" s="1">
        <f t="shared" si="0"/>
        <v>9.9000000000000005E-2</v>
      </c>
      <c r="F4" s="1">
        <f t="shared" si="0"/>
        <v>0.127</v>
      </c>
      <c r="G4" s="1">
        <f t="shared" si="0"/>
        <v>0.28300000000000003</v>
      </c>
      <c r="H4" s="1">
        <f t="shared" si="0"/>
        <v>0.33500000000000002</v>
      </c>
      <c r="I4" s="1">
        <f t="shared" si="0"/>
        <v>0.73899999999999999</v>
      </c>
      <c r="J4" s="1">
        <f t="shared" si="0"/>
        <v>0.74399999999999999</v>
      </c>
    </row>
    <row r="5" spans="1:24" x14ac:dyDescent="0.2">
      <c r="A5" s="10"/>
      <c r="B5" s="1" t="s">
        <v>11</v>
      </c>
      <c r="C5" s="2">
        <f>C4/C2</f>
        <v>2.1000000000000002E-6</v>
      </c>
      <c r="D5" s="2">
        <f t="shared" ref="D5:J5" si="1">D4/D2</f>
        <v>3.1999999999999999E-6</v>
      </c>
      <c r="E5" s="2">
        <f t="shared" si="1"/>
        <v>9.9000000000000001E-6</v>
      </c>
      <c r="F5" s="2">
        <f t="shared" si="1"/>
        <v>1.27E-5</v>
      </c>
      <c r="G5" s="2">
        <f t="shared" si="1"/>
        <v>2.8300000000000003E-5</v>
      </c>
      <c r="H5" s="2">
        <f t="shared" si="1"/>
        <v>3.3500000000000001E-5</v>
      </c>
      <c r="I5" s="2">
        <f t="shared" si="1"/>
        <v>7.3899999999999994E-5</v>
      </c>
      <c r="J5" s="2">
        <f t="shared" si="1"/>
        <v>7.4400000000000006E-5</v>
      </c>
    </row>
    <row r="6" spans="1:24" x14ac:dyDescent="0.2">
      <c r="A6" s="7" t="s">
        <v>8</v>
      </c>
      <c r="B6" s="1" t="s">
        <v>2</v>
      </c>
      <c r="C6" s="1">
        <v>10000</v>
      </c>
      <c r="D6" s="1">
        <v>10000</v>
      </c>
      <c r="E6" s="1">
        <v>10000</v>
      </c>
      <c r="F6" s="1">
        <v>10000</v>
      </c>
      <c r="G6" s="1">
        <v>10000</v>
      </c>
      <c r="H6" s="1">
        <v>10000</v>
      </c>
      <c r="I6" s="1">
        <v>10000</v>
      </c>
      <c r="J6" s="1">
        <v>10000</v>
      </c>
    </row>
    <row r="7" spans="1:24" x14ac:dyDescent="0.2">
      <c r="A7" s="8"/>
      <c r="B7" s="1" t="s">
        <v>3</v>
      </c>
      <c r="C7" s="1">
        <v>32</v>
      </c>
      <c r="D7" s="1">
        <v>29</v>
      </c>
      <c r="E7" s="1">
        <v>32</v>
      </c>
      <c r="F7" s="1">
        <v>28</v>
      </c>
      <c r="G7" s="1">
        <v>31</v>
      </c>
      <c r="H7" s="1">
        <v>36</v>
      </c>
      <c r="I7" s="1">
        <v>35</v>
      </c>
      <c r="J7" s="1">
        <v>41</v>
      </c>
      <c r="O7" s="5"/>
      <c r="P7" s="1">
        <v>1000</v>
      </c>
      <c r="Q7" s="1">
        <v>5000</v>
      </c>
      <c r="R7" s="1">
        <v>10000</v>
      </c>
      <c r="S7" s="1">
        <v>20000</v>
      </c>
      <c r="T7" s="1">
        <v>40000</v>
      </c>
      <c r="U7" s="1">
        <v>60000</v>
      </c>
      <c r="V7" s="1">
        <v>80000</v>
      </c>
      <c r="W7" s="1">
        <v>100000</v>
      </c>
    </row>
    <row r="8" spans="1:24" x14ac:dyDescent="0.2">
      <c r="A8" s="8"/>
      <c r="B8" s="1" t="s">
        <v>4</v>
      </c>
      <c r="C8" s="1">
        <f>C7*0.001</f>
        <v>3.2000000000000001E-2</v>
      </c>
      <c r="D8" s="1">
        <f t="shared" ref="D8" si="2">D7*0.001</f>
        <v>2.9000000000000001E-2</v>
      </c>
      <c r="E8" s="1">
        <f t="shared" ref="E8" si="3">E7*0.001</f>
        <v>3.2000000000000001E-2</v>
      </c>
      <c r="F8" s="1">
        <f t="shared" ref="F8" si="4">F7*0.001</f>
        <v>2.8000000000000001E-2</v>
      </c>
      <c r="G8" s="1">
        <f t="shared" ref="G8" si="5">G7*0.001</f>
        <v>3.1E-2</v>
      </c>
      <c r="H8" s="1">
        <f t="shared" ref="H8" si="6">H7*0.001</f>
        <v>3.6000000000000004E-2</v>
      </c>
      <c r="I8" s="1">
        <f t="shared" ref="I8" si="7">I7*0.001</f>
        <v>3.5000000000000003E-2</v>
      </c>
      <c r="J8" s="1">
        <f t="shared" ref="J8" si="8">J7*0.001</f>
        <v>4.1000000000000002E-2</v>
      </c>
      <c r="O8" s="5" t="s">
        <v>5</v>
      </c>
      <c r="P8" s="2">
        <v>2.1000000000000002E-6</v>
      </c>
      <c r="Q8" s="2">
        <v>3.1999999999999999E-6</v>
      </c>
      <c r="R8" s="2">
        <v>9.9000000000000001E-6</v>
      </c>
      <c r="S8" s="2">
        <v>1.27E-5</v>
      </c>
      <c r="T8" s="2">
        <v>2.8300000000000003E-5</v>
      </c>
      <c r="U8" s="2">
        <v>3.3500000000000001E-5</v>
      </c>
      <c r="V8" s="2">
        <v>7.3899999999999994E-5</v>
      </c>
      <c r="W8" s="2">
        <v>7.4400000000000006E-5</v>
      </c>
    </row>
    <row r="9" spans="1:24" x14ac:dyDescent="0.2">
      <c r="A9" s="9"/>
      <c r="B9" s="1" t="s">
        <v>11</v>
      </c>
      <c r="C9" s="2">
        <f>C8/C6</f>
        <v>3.1999999999999999E-6</v>
      </c>
      <c r="D9" s="2">
        <f t="shared" ref="D9" si="9">D8/D6</f>
        <v>2.9000000000000002E-6</v>
      </c>
      <c r="E9" s="2">
        <f t="shared" ref="E9" si="10">E8/E6</f>
        <v>3.1999999999999999E-6</v>
      </c>
      <c r="F9" s="2">
        <f t="shared" ref="F9" si="11">F8/F6</f>
        <v>2.7999999999999999E-6</v>
      </c>
      <c r="G9" s="2">
        <f t="shared" ref="G9" si="12">G8/G6</f>
        <v>3.1E-6</v>
      </c>
      <c r="H9" s="2">
        <f t="shared" ref="H9" si="13">H8/H6</f>
        <v>3.6000000000000003E-6</v>
      </c>
      <c r="I9" s="2">
        <f t="shared" ref="I9" si="14">I8/I6</f>
        <v>3.5000000000000004E-6</v>
      </c>
      <c r="J9" s="2">
        <f t="shared" ref="J9" si="15">J8/J6</f>
        <v>4.1000000000000006E-6</v>
      </c>
      <c r="O9" s="5" t="s">
        <v>7</v>
      </c>
      <c r="P9" s="6">
        <v>3.1999999999999999E-6</v>
      </c>
      <c r="Q9" s="6">
        <v>2.9000000000000002E-6</v>
      </c>
      <c r="R9" s="6">
        <v>3.1999999999999999E-6</v>
      </c>
      <c r="S9" s="6">
        <v>2.7999999999999999E-6</v>
      </c>
      <c r="T9" s="6">
        <v>3.1E-6</v>
      </c>
      <c r="U9" s="6">
        <v>3.6000000000000003E-6</v>
      </c>
      <c r="V9" s="6">
        <v>3.5000000000000004E-6</v>
      </c>
      <c r="W9" s="6">
        <v>4.1000000000000006E-6</v>
      </c>
    </row>
    <row r="10" spans="1:24" x14ac:dyDescent="0.2">
      <c r="O10" s="5" t="s">
        <v>1</v>
      </c>
      <c r="P10" s="1">
        <v>1000</v>
      </c>
      <c r="Q10" s="1">
        <v>5000</v>
      </c>
      <c r="R10" s="1">
        <v>10000</v>
      </c>
      <c r="S10" s="1">
        <v>20000</v>
      </c>
      <c r="T10" s="1">
        <v>40000</v>
      </c>
      <c r="U10" s="1">
        <v>60000</v>
      </c>
      <c r="V10" s="1">
        <v>80000</v>
      </c>
      <c r="W10" s="1">
        <v>100000</v>
      </c>
    </row>
    <row r="11" spans="1:24" x14ac:dyDescent="0.2">
      <c r="O11" s="5" t="s">
        <v>5</v>
      </c>
      <c r="P11" s="6">
        <v>1.4200000000000001E-5</v>
      </c>
      <c r="Q11" s="6">
        <v>1.6200000000000001E-5</v>
      </c>
      <c r="R11" s="6">
        <v>2.1399999999999998E-5</v>
      </c>
      <c r="S11" s="6">
        <v>2.9099999999999999E-5</v>
      </c>
      <c r="T11" s="6">
        <v>5.8399999999999997E-5</v>
      </c>
      <c r="U11" s="6">
        <v>6.9200000000000002E-5</v>
      </c>
      <c r="V11" s="6">
        <v>6.5500000000000006E-5</v>
      </c>
      <c r="W11" s="6">
        <v>8.53E-5</v>
      </c>
    </row>
    <row r="12" spans="1:24" x14ac:dyDescent="0.2">
      <c r="O12" s="5" t="s">
        <v>7</v>
      </c>
      <c r="P12" s="6">
        <v>2.8300000000000003E-5</v>
      </c>
      <c r="Q12" s="6">
        <v>3.15E-5</v>
      </c>
      <c r="R12" s="6">
        <v>3.1300000000000002E-5</v>
      </c>
      <c r="S12" s="6">
        <v>3.1600000000000002E-5</v>
      </c>
      <c r="T12" s="6">
        <v>3.2700000000000002E-5</v>
      </c>
      <c r="U12" s="6">
        <v>3.2500000000000004E-5</v>
      </c>
      <c r="V12" s="6">
        <v>3.6199999999999999E-5</v>
      </c>
      <c r="W12" s="6">
        <v>3.1199999999999999E-5</v>
      </c>
    </row>
    <row r="13" spans="1:24" x14ac:dyDescent="0.2">
      <c r="A13" s="1" t="s">
        <v>9</v>
      </c>
      <c r="B13" s="1" t="s">
        <v>1</v>
      </c>
      <c r="C13" s="1">
        <v>1000</v>
      </c>
      <c r="D13" s="1">
        <v>5000</v>
      </c>
      <c r="E13" s="1">
        <v>10000</v>
      </c>
      <c r="F13" s="1">
        <v>20000</v>
      </c>
      <c r="G13" s="1">
        <v>40000</v>
      </c>
      <c r="H13" s="1">
        <v>60000</v>
      </c>
      <c r="I13" s="1">
        <v>80000</v>
      </c>
      <c r="J13" s="1">
        <v>100000</v>
      </c>
      <c r="O13" s="5"/>
      <c r="P13" s="1">
        <v>1000</v>
      </c>
      <c r="Q13" s="1">
        <v>5000</v>
      </c>
      <c r="R13" s="1">
        <v>10000</v>
      </c>
      <c r="S13" s="1">
        <v>20000</v>
      </c>
      <c r="T13" s="1">
        <v>40000</v>
      </c>
      <c r="U13" s="1">
        <v>60000</v>
      </c>
      <c r="V13" s="1">
        <v>80000</v>
      </c>
      <c r="W13" s="1">
        <v>100000</v>
      </c>
      <c r="X13" s="3">
        <v>1000000</v>
      </c>
    </row>
    <row r="14" spans="1:24" x14ac:dyDescent="0.2">
      <c r="A14" s="10" t="s">
        <v>6</v>
      </c>
      <c r="B14" s="1" t="s">
        <v>2</v>
      </c>
      <c r="C14" s="1">
        <v>10000</v>
      </c>
      <c r="D14" s="1">
        <v>10000</v>
      </c>
      <c r="E14" s="1">
        <v>10000</v>
      </c>
      <c r="F14" s="1">
        <v>10000</v>
      </c>
      <c r="G14" s="1">
        <v>10000</v>
      </c>
      <c r="H14" s="1">
        <v>10000</v>
      </c>
      <c r="I14" s="1">
        <v>10000</v>
      </c>
      <c r="J14" s="1">
        <v>10000</v>
      </c>
      <c r="O14" s="5" t="s">
        <v>5</v>
      </c>
      <c r="P14" s="6">
        <v>3.68E-5</v>
      </c>
      <c r="Q14" s="6">
        <v>4.8999999999999998E-5</v>
      </c>
      <c r="R14" s="6">
        <v>5.2900000000000005E-5</v>
      </c>
      <c r="S14" s="6">
        <v>5.6800000000000005E-5</v>
      </c>
      <c r="T14" s="6">
        <v>6.0299999999999995E-5</v>
      </c>
      <c r="U14" s="6">
        <v>7.86E-5</v>
      </c>
      <c r="V14" s="6">
        <v>9.520000000000001E-5</v>
      </c>
      <c r="W14" s="6">
        <v>1.032E-4</v>
      </c>
      <c r="X14" s="4">
        <v>7.6580000000000007E-4</v>
      </c>
    </row>
    <row r="15" spans="1:24" x14ac:dyDescent="0.2">
      <c r="A15" s="10"/>
      <c r="B15" s="1" t="s">
        <v>3</v>
      </c>
      <c r="C15" s="1">
        <v>142</v>
      </c>
      <c r="D15" s="1">
        <v>162</v>
      </c>
      <c r="E15" s="1">
        <v>214</v>
      </c>
      <c r="F15" s="1">
        <v>291</v>
      </c>
      <c r="G15" s="1">
        <v>584</v>
      </c>
      <c r="H15" s="1">
        <v>692</v>
      </c>
      <c r="I15" s="1">
        <v>655</v>
      </c>
      <c r="J15" s="1">
        <v>853</v>
      </c>
      <c r="O15" s="5" t="s">
        <v>7</v>
      </c>
      <c r="P15" s="6">
        <v>8.180000000000001E-5</v>
      </c>
      <c r="Q15" s="6">
        <v>1.004E-4</v>
      </c>
      <c r="R15" s="6">
        <v>1.02E-4</v>
      </c>
      <c r="S15" s="6">
        <v>1.0920000000000001E-4</v>
      </c>
      <c r="T15" s="6">
        <v>1.0280000000000001E-4</v>
      </c>
      <c r="U15" s="6">
        <v>1.072E-4</v>
      </c>
      <c r="V15" s="6">
        <v>1.0400000000000001E-4</v>
      </c>
      <c r="W15" s="6">
        <v>1.0449999999999999E-4</v>
      </c>
      <c r="X15" s="4">
        <v>1.0130000000000001E-4</v>
      </c>
    </row>
    <row r="16" spans="1:24" x14ac:dyDescent="0.2">
      <c r="A16" s="10"/>
      <c r="B16" s="1" t="s">
        <v>4</v>
      </c>
      <c r="C16" s="1">
        <f>C15*0.001</f>
        <v>0.14200000000000002</v>
      </c>
      <c r="D16" s="1">
        <f t="shared" ref="D16" si="16">D15*0.001</f>
        <v>0.16200000000000001</v>
      </c>
      <c r="E16" s="1">
        <f t="shared" ref="E16" si="17">E15*0.001</f>
        <v>0.214</v>
      </c>
      <c r="F16" s="1">
        <f t="shared" ref="F16" si="18">F15*0.001</f>
        <v>0.29099999999999998</v>
      </c>
      <c r="G16" s="1">
        <f t="shared" ref="G16" si="19">G15*0.001</f>
        <v>0.58399999999999996</v>
      </c>
      <c r="H16" s="1">
        <f t="shared" ref="H16" si="20">H15*0.001</f>
        <v>0.69200000000000006</v>
      </c>
      <c r="I16" s="1">
        <f t="shared" ref="I16" si="21">I15*0.001</f>
        <v>0.65500000000000003</v>
      </c>
      <c r="J16" s="1">
        <f t="shared" ref="J16" si="22">J15*0.001</f>
        <v>0.85299999999999998</v>
      </c>
      <c r="O16" s="5"/>
      <c r="P16" s="5"/>
      <c r="Q16" s="5"/>
      <c r="R16" s="5"/>
      <c r="S16" s="5"/>
      <c r="T16" s="5"/>
      <c r="U16" s="5"/>
      <c r="V16" s="5"/>
      <c r="W16" s="5"/>
    </row>
    <row r="17" spans="1:11" x14ac:dyDescent="0.2">
      <c r="A17" s="10"/>
      <c r="B17" s="1" t="s">
        <v>11</v>
      </c>
      <c r="C17" s="2">
        <f>C16/C14</f>
        <v>1.4200000000000001E-5</v>
      </c>
      <c r="D17" s="2">
        <f t="shared" ref="D17" si="23">D16/D14</f>
        <v>1.6200000000000001E-5</v>
      </c>
      <c r="E17" s="2">
        <f t="shared" ref="E17" si="24">E16/E14</f>
        <v>2.1399999999999998E-5</v>
      </c>
      <c r="F17" s="2">
        <f t="shared" ref="F17" si="25">F16/F14</f>
        <v>2.9099999999999999E-5</v>
      </c>
      <c r="G17" s="2">
        <f t="shared" ref="G17" si="26">G16/G14</f>
        <v>5.8399999999999997E-5</v>
      </c>
      <c r="H17" s="2">
        <f t="shared" ref="H17" si="27">H16/H14</f>
        <v>6.9200000000000002E-5</v>
      </c>
      <c r="I17" s="2">
        <f t="shared" ref="I17" si="28">I16/I14</f>
        <v>6.5500000000000006E-5</v>
      </c>
      <c r="J17" s="2">
        <f t="shared" ref="J17" si="29">J16/J14</f>
        <v>8.53E-5</v>
      </c>
    </row>
    <row r="18" spans="1:11" x14ac:dyDescent="0.2">
      <c r="A18" s="7" t="s">
        <v>8</v>
      </c>
      <c r="B18" s="1" t="s">
        <v>2</v>
      </c>
      <c r="C18" s="1">
        <v>10000</v>
      </c>
      <c r="D18" s="1">
        <v>10000</v>
      </c>
      <c r="E18" s="1">
        <v>10000</v>
      </c>
      <c r="F18" s="1">
        <v>10000</v>
      </c>
      <c r="G18" s="1">
        <v>10000</v>
      </c>
      <c r="H18" s="1">
        <v>10000</v>
      </c>
      <c r="I18" s="1">
        <v>10000</v>
      </c>
      <c r="J18" s="1">
        <v>10000</v>
      </c>
    </row>
    <row r="19" spans="1:11" x14ac:dyDescent="0.2">
      <c r="A19" s="8"/>
      <c r="B19" s="1" t="s">
        <v>3</v>
      </c>
      <c r="C19" s="1">
        <v>283</v>
      </c>
      <c r="D19" s="1">
        <v>315</v>
      </c>
      <c r="E19" s="1">
        <v>313</v>
      </c>
      <c r="F19" s="1">
        <v>316</v>
      </c>
      <c r="G19" s="1">
        <v>327</v>
      </c>
      <c r="H19" s="1">
        <v>325</v>
      </c>
      <c r="I19" s="1">
        <v>362</v>
      </c>
      <c r="J19" s="1">
        <v>312</v>
      </c>
    </row>
    <row r="20" spans="1:11" x14ac:dyDescent="0.2">
      <c r="A20" s="8"/>
      <c r="B20" s="1" t="s">
        <v>4</v>
      </c>
      <c r="C20" s="1">
        <f>C19*0.001</f>
        <v>0.28300000000000003</v>
      </c>
      <c r="D20" s="1">
        <f t="shared" ref="D20" si="30">D19*0.001</f>
        <v>0.315</v>
      </c>
      <c r="E20" s="1">
        <f t="shared" ref="E20" si="31">E19*0.001</f>
        <v>0.313</v>
      </c>
      <c r="F20" s="1">
        <f t="shared" ref="F20" si="32">F19*0.001</f>
        <v>0.316</v>
      </c>
      <c r="G20" s="1">
        <f t="shared" ref="G20" si="33">G19*0.001</f>
        <v>0.32700000000000001</v>
      </c>
      <c r="H20" s="1">
        <f t="shared" ref="H20" si="34">H19*0.001</f>
        <v>0.32500000000000001</v>
      </c>
      <c r="I20" s="1">
        <f t="shared" ref="I20" si="35">I19*0.001</f>
        <v>0.36199999999999999</v>
      </c>
      <c r="J20" s="1">
        <f t="shared" ref="J20" si="36">J19*0.001</f>
        <v>0.312</v>
      </c>
    </row>
    <row r="21" spans="1:11" x14ac:dyDescent="0.2">
      <c r="A21" s="9"/>
      <c r="B21" s="1" t="s">
        <v>11</v>
      </c>
      <c r="C21" s="2">
        <f>C20/C18</f>
        <v>2.8300000000000003E-5</v>
      </c>
      <c r="D21" s="2">
        <f t="shared" ref="D21" si="37">D20/D18</f>
        <v>3.15E-5</v>
      </c>
      <c r="E21" s="2">
        <f t="shared" ref="E21" si="38">E20/E18</f>
        <v>3.1300000000000002E-5</v>
      </c>
      <c r="F21" s="2">
        <f t="shared" ref="F21" si="39">F20/F18</f>
        <v>3.1600000000000002E-5</v>
      </c>
      <c r="G21" s="2">
        <f t="shared" ref="G21" si="40">G20/G18</f>
        <v>3.2700000000000002E-5</v>
      </c>
      <c r="H21" s="2">
        <f t="shared" ref="H21" si="41">H20/H18</f>
        <v>3.2500000000000004E-5</v>
      </c>
      <c r="I21" s="2">
        <f t="shared" ref="I21" si="42">I20/I18</f>
        <v>3.6199999999999999E-5</v>
      </c>
      <c r="J21" s="2">
        <f t="shared" ref="J21" si="43">J20/J18</f>
        <v>3.1199999999999999E-5</v>
      </c>
    </row>
    <row r="25" spans="1:11" x14ac:dyDescent="0.2">
      <c r="A25" s="1" t="s">
        <v>10</v>
      </c>
      <c r="B25" s="1" t="s">
        <v>1</v>
      </c>
      <c r="C25" s="1">
        <v>1000</v>
      </c>
      <c r="D25" s="1">
        <v>5000</v>
      </c>
      <c r="E25" s="1">
        <v>10000</v>
      </c>
      <c r="F25" s="1">
        <v>20000</v>
      </c>
      <c r="G25" s="1">
        <v>40000</v>
      </c>
      <c r="H25" s="1">
        <v>60000</v>
      </c>
      <c r="I25" s="1">
        <v>80000</v>
      </c>
      <c r="J25" s="1">
        <v>100000</v>
      </c>
      <c r="K25" s="3">
        <v>1000000</v>
      </c>
    </row>
    <row r="26" spans="1:11" x14ac:dyDescent="0.2">
      <c r="A26" s="10" t="s">
        <v>6</v>
      </c>
      <c r="B26" s="1" t="s">
        <v>2</v>
      </c>
      <c r="C26" s="1">
        <v>10000</v>
      </c>
      <c r="D26" s="1">
        <v>10000</v>
      </c>
      <c r="E26" s="1">
        <v>10000</v>
      </c>
      <c r="F26" s="1">
        <v>10000</v>
      </c>
      <c r="G26" s="1">
        <v>10000</v>
      </c>
      <c r="H26" s="1">
        <v>10000</v>
      </c>
      <c r="I26" s="1">
        <v>10000</v>
      </c>
      <c r="J26" s="1">
        <v>10000</v>
      </c>
      <c r="K26" s="3">
        <v>10000</v>
      </c>
    </row>
    <row r="27" spans="1:11" x14ac:dyDescent="0.2">
      <c r="A27" s="10"/>
      <c r="B27" s="1" t="s">
        <v>3</v>
      </c>
      <c r="C27" s="1">
        <v>368</v>
      </c>
      <c r="D27" s="1">
        <v>490</v>
      </c>
      <c r="E27" s="1">
        <v>529</v>
      </c>
      <c r="F27" s="1">
        <v>568</v>
      </c>
      <c r="G27" s="1">
        <v>603</v>
      </c>
      <c r="H27" s="1">
        <v>786</v>
      </c>
      <c r="I27" s="1">
        <v>952</v>
      </c>
      <c r="J27" s="1">
        <v>1032</v>
      </c>
      <c r="K27" s="3">
        <v>7658</v>
      </c>
    </row>
    <row r="28" spans="1:11" x14ac:dyDescent="0.2">
      <c r="A28" s="10"/>
      <c r="B28" s="1" t="s">
        <v>4</v>
      </c>
      <c r="C28" s="1">
        <f>C27*0.001</f>
        <v>0.36799999999999999</v>
      </c>
      <c r="D28" s="1">
        <f t="shared" ref="D28" si="44">D27*0.001</f>
        <v>0.49</v>
      </c>
      <c r="E28" s="1">
        <f t="shared" ref="E28" si="45">E27*0.001</f>
        <v>0.52900000000000003</v>
      </c>
      <c r="F28" s="1">
        <f t="shared" ref="F28" si="46">F27*0.001</f>
        <v>0.56800000000000006</v>
      </c>
      <c r="G28" s="1">
        <f t="shared" ref="G28" si="47">G27*0.001</f>
        <v>0.60299999999999998</v>
      </c>
      <c r="H28" s="1">
        <f t="shared" ref="H28" si="48">H27*0.001</f>
        <v>0.78600000000000003</v>
      </c>
      <c r="I28" s="1">
        <f t="shared" ref="I28" si="49">I27*0.001</f>
        <v>0.95200000000000007</v>
      </c>
      <c r="J28" s="1">
        <f t="shared" ref="J28:K28" si="50">J27*0.001</f>
        <v>1.032</v>
      </c>
      <c r="K28" s="1">
        <f t="shared" si="50"/>
        <v>7.6580000000000004</v>
      </c>
    </row>
    <row r="29" spans="1:11" x14ac:dyDescent="0.2">
      <c r="A29" s="10"/>
      <c r="B29" s="1" t="s">
        <v>11</v>
      </c>
      <c r="C29" s="2">
        <f>C28/C26</f>
        <v>3.68E-5</v>
      </c>
      <c r="D29" s="2">
        <f t="shared" ref="D29" si="51">D28/D26</f>
        <v>4.8999999999999998E-5</v>
      </c>
      <c r="E29" s="2">
        <f t="shared" ref="E29" si="52">E28/E26</f>
        <v>5.2900000000000005E-5</v>
      </c>
      <c r="F29" s="2">
        <f t="shared" ref="F29" si="53">F28/F26</f>
        <v>5.6800000000000005E-5</v>
      </c>
      <c r="G29" s="2">
        <f t="shared" ref="G29" si="54">G28/G26</f>
        <v>6.0299999999999995E-5</v>
      </c>
      <c r="H29" s="2">
        <f t="shared" ref="H29" si="55">H28/H26</f>
        <v>7.86E-5</v>
      </c>
      <c r="I29" s="2">
        <f t="shared" ref="I29" si="56">I28/I26</f>
        <v>9.520000000000001E-5</v>
      </c>
      <c r="J29" s="2">
        <f t="shared" ref="J29:K29" si="57">J28/J26</f>
        <v>1.032E-4</v>
      </c>
      <c r="K29" s="2">
        <f t="shared" si="57"/>
        <v>7.6580000000000007E-4</v>
      </c>
    </row>
    <row r="30" spans="1:11" x14ac:dyDescent="0.2">
      <c r="A30" s="7" t="s">
        <v>8</v>
      </c>
      <c r="B30" s="1" t="s">
        <v>2</v>
      </c>
      <c r="C30" s="1">
        <v>10000</v>
      </c>
      <c r="D30" s="1">
        <v>10000</v>
      </c>
      <c r="E30" s="1">
        <v>10000</v>
      </c>
      <c r="F30" s="1">
        <v>10000</v>
      </c>
      <c r="G30" s="1">
        <v>10000</v>
      </c>
      <c r="H30" s="1">
        <v>10000</v>
      </c>
      <c r="I30" s="1">
        <v>10000</v>
      </c>
      <c r="J30" s="1">
        <v>10000</v>
      </c>
      <c r="K30" s="3">
        <v>10000</v>
      </c>
    </row>
    <row r="31" spans="1:11" x14ac:dyDescent="0.2">
      <c r="A31" s="8"/>
      <c r="B31" s="1" t="s">
        <v>3</v>
      </c>
      <c r="C31" s="1">
        <v>818</v>
      </c>
      <c r="D31" s="1">
        <v>1004</v>
      </c>
      <c r="E31" s="1">
        <v>1020</v>
      </c>
      <c r="F31" s="1">
        <v>1092</v>
      </c>
      <c r="G31" s="1">
        <v>1028</v>
      </c>
      <c r="H31" s="1">
        <v>1072</v>
      </c>
      <c r="I31" s="1">
        <v>1040</v>
      </c>
      <c r="J31" s="1">
        <v>1045</v>
      </c>
      <c r="K31" s="3">
        <v>1013</v>
      </c>
    </row>
    <row r="32" spans="1:11" x14ac:dyDescent="0.2">
      <c r="A32" s="8"/>
      <c r="B32" s="1" t="s">
        <v>4</v>
      </c>
      <c r="C32" s="1">
        <f>C31*0.001</f>
        <v>0.81800000000000006</v>
      </c>
      <c r="D32" s="1">
        <f t="shared" ref="D32" si="58">D31*0.001</f>
        <v>1.004</v>
      </c>
      <c r="E32" s="1">
        <f t="shared" ref="E32" si="59">E31*0.001</f>
        <v>1.02</v>
      </c>
      <c r="F32" s="1">
        <f t="shared" ref="F32" si="60">F31*0.001</f>
        <v>1.0920000000000001</v>
      </c>
      <c r="G32" s="1">
        <f t="shared" ref="G32" si="61">G31*0.001</f>
        <v>1.028</v>
      </c>
      <c r="H32" s="1">
        <f t="shared" ref="H32" si="62">H31*0.001</f>
        <v>1.0720000000000001</v>
      </c>
      <c r="I32" s="1">
        <f t="shared" ref="I32" si="63">I31*0.001</f>
        <v>1.04</v>
      </c>
      <c r="J32" s="1">
        <f t="shared" ref="J32:K32" si="64">J31*0.001</f>
        <v>1.0449999999999999</v>
      </c>
      <c r="K32" s="1">
        <f t="shared" si="64"/>
        <v>1.0130000000000001</v>
      </c>
    </row>
    <row r="33" spans="1:11" x14ac:dyDescent="0.2">
      <c r="A33" s="9"/>
      <c r="B33" s="1" t="s">
        <v>11</v>
      </c>
      <c r="C33" s="2">
        <f>C32/C30</f>
        <v>8.180000000000001E-5</v>
      </c>
      <c r="D33" s="2">
        <f t="shared" ref="D33" si="65">D32/D30</f>
        <v>1.004E-4</v>
      </c>
      <c r="E33" s="2">
        <f t="shared" ref="E33" si="66">E32/E30</f>
        <v>1.02E-4</v>
      </c>
      <c r="F33" s="2">
        <f t="shared" ref="F33" si="67">F32/F30</f>
        <v>1.0920000000000001E-4</v>
      </c>
      <c r="G33" s="2">
        <f t="shared" ref="G33" si="68">G32/G30</f>
        <v>1.0280000000000001E-4</v>
      </c>
      <c r="H33" s="2">
        <f t="shared" ref="H33" si="69">H32/H30</f>
        <v>1.072E-4</v>
      </c>
      <c r="I33" s="2">
        <f t="shared" ref="I33" si="70">I32/I30</f>
        <v>1.0400000000000001E-4</v>
      </c>
      <c r="J33" s="2">
        <f t="shared" ref="J33:K33" si="71">J32/J30</f>
        <v>1.0449999999999999E-4</v>
      </c>
      <c r="K33" s="2">
        <f t="shared" si="71"/>
        <v>1.0130000000000001E-4</v>
      </c>
    </row>
    <row r="38" spans="1:11" x14ac:dyDescent="0.2">
      <c r="A38" s="1" t="s">
        <v>12</v>
      </c>
      <c r="B38" s="1" t="s">
        <v>1</v>
      </c>
      <c r="C38" s="1">
        <v>1000</v>
      </c>
      <c r="D38" s="1">
        <v>5000</v>
      </c>
      <c r="E38" s="1">
        <v>10000</v>
      </c>
      <c r="F38" s="1">
        <v>20000</v>
      </c>
      <c r="G38" s="1">
        <v>40000</v>
      </c>
      <c r="H38" s="1">
        <v>60000</v>
      </c>
      <c r="I38" s="1">
        <v>80000</v>
      </c>
      <c r="J38" s="1">
        <v>100000</v>
      </c>
    </row>
    <row r="39" spans="1:11" x14ac:dyDescent="0.2">
      <c r="A39" s="10" t="s">
        <v>6</v>
      </c>
      <c r="B39" s="1" t="s">
        <v>2</v>
      </c>
      <c r="C39" s="1">
        <v>10000</v>
      </c>
      <c r="D39" s="1">
        <v>10000</v>
      </c>
      <c r="E39" s="1">
        <v>10000</v>
      </c>
      <c r="F39" s="1">
        <v>10000</v>
      </c>
      <c r="G39" s="1">
        <v>10000</v>
      </c>
      <c r="H39" s="1">
        <v>10000</v>
      </c>
      <c r="I39" s="1">
        <v>10000</v>
      </c>
      <c r="J39" s="1">
        <v>10000</v>
      </c>
    </row>
    <row r="40" spans="1:11" x14ac:dyDescent="0.2">
      <c r="A40" s="10"/>
      <c r="B40" s="1" t="s">
        <v>3</v>
      </c>
      <c r="C40" s="1">
        <v>72</v>
      </c>
      <c r="D40" s="1">
        <v>79</v>
      </c>
      <c r="E40" s="1">
        <v>96</v>
      </c>
      <c r="F40" s="1">
        <v>131</v>
      </c>
      <c r="G40" s="1">
        <v>228</v>
      </c>
      <c r="H40" s="1">
        <v>398</v>
      </c>
      <c r="I40" s="1">
        <v>516</v>
      </c>
      <c r="J40" s="1">
        <v>985</v>
      </c>
    </row>
    <row r="41" spans="1:11" x14ac:dyDescent="0.2">
      <c r="A41" s="10"/>
      <c r="B41" s="1" t="s">
        <v>4</v>
      </c>
      <c r="C41" s="1">
        <f>C40*0.001</f>
        <v>7.2000000000000008E-2</v>
      </c>
      <c r="D41" s="1">
        <f t="shared" ref="D41:J41" si="72">D40*0.001</f>
        <v>7.9000000000000001E-2</v>
      </c>
      <c r="E41" s="1">
        <f t="shared" si="72"/>
        <v>9.6000000000000002E-2</v>
      </c>
      <c r="F41" s="1">
        <f t="shared" si="72"/>
        <v>0.13100000000000001</v>
      </c>
      <c r="G41" s="1">
        <f t="shared" si="72"/>
        <v>0.22800000000000001</v>
      </c>
      <c r="H41" s="1">
        <f t="shared" si="72"/>
        <v>0.39800000000000002</v>
      </c>
      <c r="I41" s="1">
        <f t="shared" si="72"/>
        <v>0.51600000000000001</v>
      </c>
      <c r="J41" s="1">
        <f t="shared" si="72"/>
        <v>0.98499999999999999</v>
      </c>
    </row>
    <row r="42" spans="1:11" x14ac:dyDescent="0.2">
      <c r="A42" s="10"/>
      <c r="B42" s="1" t="s">
        <v>11</v>
      </c>
      <c r="C42" s="2">
        <f>C41/C39</f>
        <v>7.2000000000000005E-6</v>
      </c>
      <c r="D42" s="2">
        <f t="shared" ref="D42:J42" si="73">D41/D39</f>
        <v>7.9000000000000006E-6</v>
      </c>
      <c r="E42" s="2">
        <f t="shared" si="73"/>
        <v>9.5999999999999996E-6</v>
      </c>
      <c r="F42" s="2">
        <f t="shared" si="73"/>
        <v>1.31E-5</v>
      </c>
      <c r="G42" s="2">
        <f t="shared" si="73"/>
        <v>2.2800000000000002E-5</v>
      </c>
      <c r="H42" s="2">
        <f t="shared" si="73"/>
        <v>3.9800000000000005E-5</v>
      </c>
      <c r="I42" s="2">
        <f t="shared" si="73"/>
        <v>5.1600000000000001E-5</v>
      </c>
      <c r="J42" s="2">
        <f t="shared" si="73"/>
        <v>9.8499999999999995E-5</v>
      </c>
    </row>
    <row r="43" spans="1:11" x14ac:dyDescent="0.2">
      <c r="A43" s="7" t="s">
        <v>8</v>
      </c>
      <c r="B43" s="1" t="s">
        <v>2</v>
      </c>
      <c r="C43" s="1">
        <v>10000</v>
      </c>
      <c r="D43" s="1">
        <v>10000</v>
      </c>
      <c r="E43" s="1">
        <v>10000</v>
      </c>
      <c r="F43" s="1">
        <v>10000</v>
      </c>
      <c r="G43" s="1">
        <v>10000</v>
      </c>
      <c r="H43" s="1">
        <v>10000</v>
      </c>
      <c r="I43" s="1">
        <v>10000</v>
      </c>
      <c r="J43" s="1">
        <v>10000</v>
      </c>
    </row>
    <row r="44" spans="1:11" x14ac:dyDescent="0.2">
      <c r="A44" s="8"/>
      <c r="B44" s="1" t="s">
        <v>3</v>
      </c>
      <c r="C44" s="1">
        <v>157</v>
      </c>
      <c r="D44" s="1">
        <v>160</v>
      </c>
      <c r="E44" s="1">
        <v>174</v>
      </c>
      <c r="F44" s="1">
        <v>181</v>
      </c>
      <c r="G44" s="1">
        <v>162</v>
      </c>
      <c r="H44" s="1">
        <v>170</v>
      </c>
      <c r="I44" s="1">
        <v>168</v>
      </c>
      <c r="J44" s="1">
        <v>167</v>
      </c>
    </row>
    <row r="45" spans="1:11" x14ac:dyDescent="0.2">
      <c r="A45" s="8"/>
      <c r="B45" s="1" t="s">
        <v>4</v>
      </c>
      <c r="C45" s="1">
        <f>C44*0.001</f>
        <v>0.157</v>
      </c>
      <c r="D45" s="1">
        <f t="shared" ref="D45:J45" si="74">D44*0.001</f>
        <v>0.16</v>
      </c>
      <c r="E45" s="1">
        <f t="shared" si="74"/>
        <v>0.17400000000000002</v>
      </c>
      <c r="F45" s="1">
        <f t="shared" si="74"/>
        <v>0.18099999999999999</v>
      </c>
      <c r="G45" s="1">
        <f t="shared" si="74"/>
        <v>0.16200000000000001</v>
      </c>
      <c r="H45" s="1">
        <f t="shared" si="74"/>
        <v>0.17</v>
      </c>
      <c r="I45" s="1">
        <f t="shared" si="74"/>
        <v>0.16800000000000001</v>
      </c>
      <c r="J45" s="1">
        <f t="shared" si="74"/>
        <v>0.16700000000000001</v>
      </c>
    </row>
    <row r="46" spans="1:11" x14ac:dyDescent="0.2">
      <c r="A46" s="9"/>
      <c r="B46" s="1" t="s">
        <v>11</v>
      </c>
      <c r="C46" s="2">
        <f>C45/C43</f>
        <v>1.5699999999999999E-5</v>
      </c>
      <c r="D46" s="2">
        <f t="shared" ref="D46:J46" si="75">D45/D43</f>
        <v>1.5999999999999999E-5</v>
      </c>
      <c r="E46" s="2">
        <f t="shared" si="75"/>
        <v>1.7400000000000003E-5</v>
      </c>
      <c r="F46" s="2">
        <f t="shared" si="75"/>
        <v>1.8099999999999999E-5</v>
      </c>
      <c r="G46" s="2">
        <f t="shared" si="75"/>
        <v>1.6200000000000001E-5</v>
      </c>
      <c r="H46" s="2">
        <f t="shared" si="75"/>
        <v>1.7E-5</v>
      </c>
      <c r="I46" s="2">
        <f t="shared" si="75"/>
        <v>1.6800000000000002E-5</v>
      </c>
      <c r="J46" s="2">
        <f t="shared" si="75"/>
        <v>1.6699999999999999E-5</v>
      </c>
    </row>
    <row r="50" spans="1:24" x14ac:dyDescent="0.2">
      <c r="A50" s="1" t="s">
        <v>13</v>
      </c>
      <c r="B50" s="1" t="s">
        <v>1</v>
      </c>
      <c r="C50" s="1">
        <v>1000</v>
      </c>
      <c r="D50" s="1">
        <v>5000</v>
      </c>
      <c r="E50" s="1">
        <v>10000</v>
      </c>
      <c r="F50" s="1">
        <v>20000</v>
      </c>
      <c r="G50" s="1">
        <v>40000</v>
      </c>
      <c r="H50" s="1">
        <v>60000</v>
      </c>
      <c r="I50" s="1">
        <v>80000</v>
      </c>
      <c r="J50" s="1">
        <v>100000</v>
      </c>
      <c r="K50" s="1">
        <v>1000000</v>
      </c>
    </row>
    <row r="51" spans="1:24" x14ac:dyDescent="0.2">
      <c r="A51" s="10" t="s">
        <v>6</v>
      </c>
      <c r="B51" s="1" t="s">
        <v>2</v>
      </c>
      <c r="C51" s="1">
        <v>10000</v>
      </c>
      <c r="D51" s="1">
        <v>10000</v>
      </c>
      <c r="E51" s="1">
        <v>10000</v>
      </c>
      <c r="F51" s="1">
        <v>10000</v>
      </c>
      <c r="G51" s="1">
        <v>10000</v>
      </c>
      <c r="H51" s="1">
        <v>10000</v>
      </c>
      <c r="I51" s="1">
        <v>10000</v>
      </c>
      <c r="J51" s="1">
        <v>10000</v>
      </c>
      <c r="K51" s="1">
        <v>10000</v>
      </c>
    </row>
    <row r="52" spans="1:24" x14ac:dyDescent="0.2">
      <c r="A52" s="10"/>
      <c r="B52" s="1" t="s">
        <v>3</v>
      </c>
      <c r="C52" s="1">
        <v>242</v>
      </c>
      <c r="D52" s="1">
        <v>315</v>
      </c>
      <c r="E52" s="1">
        <v>328</v>
      </c>
      <c r="F52" s="1">
        <v>344</v>
      </c>
      <c r="G52" s="1">
        <v>439</v>
      </c>
      <c r="H52" s="1">
        <v>640</v>
      </c>
      <c r="I52" s="1">
        <v>563</v>
      </c>
      <c r="J52" s="1">
        <v>792</v>
      </c>
      <c r="K52" s="1">
        <v>4615</v>
      </c>
    </row>
    <row r="53" spans="1:24" x14ac:dyDescent="0.2">
      <c r="A53" s="10"/>
      <c r="B53" s="1" t="s">
        <v>4</v>
      </c>
      <c r="C53" s="1">
        <f>C52*0.001</f>
        <v>0.24199999999999999</v>
      </c>
      <c r="D53" s="1">
        <f t="shared" ref="D53:J53" si="76">D52*0.001</f>
        <v>0.315</v>
      </c>
      <c r="E53" s="1">
        <f t="shared" si="76"/>
        <v>0.32800000000000001</v>
      </c>
      <c r="F53" s="1">
        <f t="shared" si="76"/>
        <v>0.34400000000000003</v>
      </c>
      <c r="G53" s="1">
        <f t="shared" si="76"/>
        <v>0.439</v>
      </c>
      <c r="H53" s="1">
        <f t="shared" si="76"/>
        <v>0.64</v>
      </c>
      <c r="I53" s="1">
        <f t="shared" si="76"/>
        <v>0.56300000000000006</v>
      </c>
      <c r="J53" s="1">
        <f t="shared" si="76"/>
        <v>0.79200000000000004</v>
      </c>
      <c r="K53" s="1">
        <f t="shared" ref="K53" si="77">K52*0.001</f>
        <v>4.6150000000000002</v>
      </c>
    </row>
    <row r="54" spans="1:24" x14ac:dyDescent="0.2">
      <c r="A54" s="10"/>
      <c r="B54" s="1" t="s">
        <v>11</v>
      </c>
      <c r="C54" s="2">
        <f>C53/C51</f>
        <v>2.4199999999999999E-5</v>
      </c>
      <c r="D54" s="2">
        <f t="shared" ref="D54:J54" si="78">D53/D51</f>
        <v>3.15E-5</v>
      </c>
      <c r="E54" s="2">
        <f t="shared" si="78"/>
        <v>3.2800000000000004E-5</v>
      </c>
      <c r="F54" s="2">
        <f t="shared" si="78"/>
        <v>3.4400000000000003E-5</v>
      </c>
      <c r="G54" s="2">
        <f t="shared" si="78"/>
        <v>4.3900000000000003E-5</v>
      </c>
      <c r="H54" s="2">
        <f t="shared" si="78"/>
        <v>6.3999999999999997E-5</v>
      </c>
      <c r="I54" s="2">
        <f t="shared" si="78"/>
        <v>5.6300000000000006E-5</v>
      </c>
      <c r="J54" s="2">
        <f t="shared" si="78"/>
        <v>7.9200000000000001E-5</v>
      </c>
      <c r="K54" s="2">
        <f t="shared" ref="K54" si="79">K53/K51</f>
        <v>4.615E-4</v>
      </c>
    </row>
    <row r="55" spans="1:24" x14ac:dyDescent="0.2">
      <c r="A55" s="7" t="s">
        <v>8</v>
      </c>
      <c r="B55" s="1" t="s">
        <v>2</v>
      </c>
      <c r="C55" s="1">
        <v>10000</v>
      </c>
      <c r="D55" s="1">
        <v>10000</v>
      </c>
      <c r="E55" s="1">
        <v>10000</v>
      </c>
      <c r="F55" s="1">
        <v>10000</v>
      </c>
      <c r="G55" s="1">
        <v>10000</v>
      </c>
      <c r="H55" s="1">
        <v>10000</v>
      </c>
      <c r="I55" s="1">
        <v>10000</v>
      </c>
      <c r="J55" s="1">
        <v>10000</v>
      </c>
      <c r="K55" s="1">
        <v>10000</v>
      </c>
    </row>
    <row r="56" spans="1:24" x14ac:dyDescent="0.2">
      <c r="A56" s="8"/>
      <c r="B56" s="1" t="s">
        <v>3</v>
      </c>
      <c r="C56" s="1">
        <v>529</v>
      </c>
      <c r="D56" s="1">
        <v>641</v>
      </c>
      <c r="E56" s="1">
        <v>617</v>
      </c>
      <c r="F56" s="1">
        <v>642</v>
      </c>
      <c r="G56" s="1">
        <v>660</v>
      </c>
      <c r="H56" s="1">
        <v>677</v>
      </c>
      <c r="I56" s="1">
        <v>658</v>
      </c>
      <c r="J56" s="1">
        <v>715</v>
      </c>
      <c r="K56" s="1">
        <v>652</v>
      </c>
      <c r="O56" s="5"/>
      <c r="P56" s="1">
        <v>1000</v>
      </c>
      <c r="Q56" s="1">
        <v>5000</v>
      </c>
      <c r="R56" s="1">
        <v>10000</v>
      </c>
      <c r="S56" s="1">
        <v>20000</v>
      </c>
      <c r="T56" s="1">
        <v>40000</v>
      </c>
      <c r="U56" s="1">
        <v>60000</v>
      </c>
      <c r="V56" s="1">
        <v>80000</v>
      </c>
      <c r="W56" s="1">
        <v>100000</v>
      </c>
    </row>
    <row r="57" spans="1:24" x14ac:dyDescent="0.2">
      <c r="A57" s="8"/>
      <c r="B57" s="1" t="s">
        <v>4</v>
      </c>
      <c r="C57" s="1">
        <f>C56*0.001</f>
        <v>0.52900000000000003</v>
      </c>
      <c r="D57" s="1">
        <f t="shared" ref="D57:J57" si="80">D56*0.001</f>
        <v>0.64100000000000001</v>
      </c>
      <c r="E57" s="1">
        <f t="shared" si="80"/>
        <v>0.61699999999999999</v>
      </c>
      <c r="F57" s="1">
        <f t="shared" si="80"/>
        <v>0.64200000000000002</v>
      </c>
      <c r="G57" s="1">
        <f t="shared" si="80"/>
        <v>0.66</v>
      </c>
      <c r="H57" s="1">
        <f t="shared" si="80"/>
        <v>0.67700000000000005</v>
      </c>
      <c r="I57" s="1">
        <f t="shared" si="80"/>
        <v>0.65800000000000003</v>
      </c>
      <c r="J57" s="1">
        <f t="shared" si="80"/>
        <v>0.71499999999999997</v>
      </c>
      <c r="K57" s="1">
        <f t="shared" ref="K57" si="81">K56*0.001</f>
        <v>0.65200000000000002</v>
      </c>
      <c r="O57" s="5" t="s">
        <v>5</v>
      </c>
      <c r="P57" s="2">
        <v>7.2000000000000005E-6</v>
      </c>
      <c r="Q57" s="2">
        <v>7.9000000000000006E-6</v>
      </c>
      <c r="R57" s="2">
        <v>9.5999999999999996E-6</v>
      </c>
      <c r="S57" s="2">
        <v>1.31E-5</v>
      </c>
      <c r="T57" s="2">
        <v>2.2800000000000002E-5</v>
      </c>
      <c r="U57" s="2">
        <v>3.9800000000000005E-5</v>
      </c>
      <c r="V57" s="2">
        <v>5.1600000000000001E-5</v>
      </c>
      <c r="W57" s="2">
        <v>9.8499999999999995E-5</v>
      </c>
    </row>
    <row r="58" spans="1:24" x14ac:dyDescent="0.2">
      <c r="A58" s="9"/>
      <c r="B58" s="1" t="s">
        <v>11</v>
      </c>
      <c r="C58" s="2">
        <f>C57/C55</f>
        <v>5.2900000000000005E-5</v>
      </c>
      <c r="D58" s="2">
        <f t="shared" ref="D58:J58" si="82">D57/D55</f>
        <v>6.41E-5</v>
      </c>
      <c r="E58" s="2">
        <f t="shared" si="82"/>
        <v>6.1699999999999995E-5</v>
      </c>
      <c r="F58" s="2">
        <f t="shared" si="82"/>
        <v>6.4200000000000002E-5</v>
      </c>
      <c r="G58" s="2">
        <f t="shared" si="82"/>
        <v>6.6000000000000005E-5</v>
      </c>
      <c r="H58" s="2">
        <f t="shared" si="82"/>
        <v>6.7700000000000006E-5</v>
      </c>
      <c r="I58" s="2">
        <f t="shared" si="82"/>
        <v>6.58E-5</v>
      </c>
      <c r="J58" s="2">
        <f t="shared" si="82"/>
        <v>7.1500000000000003E-5</v>
      </c>
      <c r="K58" s="2">
        <f t="shared" ref="K58" si="83">K57/K55</f>
        <v>6.5199999999999999E-5</v>
      </c>
      <c r="O58" s="5" t="s">
        <v>7</v>
      </c>
      <c r="P58" s="6">
        <v>1.5699999999999999E-5</v>
      </c>
      <c r="Q58" s="6">
        <v>1.5999999999999999E-5</v>
      </c>
      <c r="R58" s="6">
        <v>1.7400000000000003E-5</v>
      </c>
      <c r="S58" s="6">
        <v>1.8099999999999999E-5</v>
      </c>
      <c r="T58" s="6">
        <v>1.6200000000000001E-5</v>
      </c>
      <c r="U58" s="6">
        <v>1.7E-5</v>
      </c>
      <c r="V58" s="6">
        <v>1.6800000000000002E-5</v>
      </c>
      <c r="W58" s="6">
        <v>1.6699999999999999E-5</v>
      </c>
    </row>
    <row r="59" spans="1:24" x14ac:dyDescent="0.2">
      <c r="O59" s="5"/>
      <c r="P59" s="1">
        <v>1000</v>
      </c>
      <c r="Q59" s="1">
        <v>5000</v>
      </c>
      <c r="R59" s="1">
        <v>10000</v>
      </c>
      <c r="S59" s="1">
        <v>20000</v>
      </c>
      <c r="T59" s="1">
        <v>40000</v>
      </c>
      <c r="U59" s="1">
        <v>60000</v>
      </c>
      <c r="V59" s="1">
        <v>80000</v>
      </c>
      <c r="W59" s="1">
        <v>100000</v>
      </c>
      <c r="X59" s="3">
        <v>1000000</v>
      </c>
    </row>
    <row r="60" spans="1:24" x14ac:dyDescent="0.2">
      <c r="O60" s="5" t="s">
        <v>5</v>
      </c>
      <c r="P60" s="6">
        <v>2.4199999999999999E-5</v>
      </c>
      <c r="Q60" s="6">
        <v>3.15E-5</v>
      </c>
      <c r="R60" s="6">
        <v>3.2800000000000004E-5</v>
      </c>
      <c r="S60" s="6">
        <v>3.4400000000000003E-5</v>
      </c>
      <c r="T60" s="6">
        <v>4.3900000000000003E-5</v>
      </c>
      <c r="U60" s="6">
        <v>6.3999999999999997E-5</v>
      </c>
      <c r="V60" s="6">
        <v>5.6300000000000006E-5</v>
      </c>
      <c r="W60" s="6">
        <v>7.9200000000000001E-5</v>
      </c>
      <c r="X60" s="6">
        <v>4.615E-4</v>
      </c>
    </row>
    <row r="61" spans="1:24" x14ac:dyDescent="0.2">
      <c r="O61" s="5" t="s">
        <v>7</v>
      </c>
      <c r="P61" s="6">
        <v>5.2900000000000005E-5</v>
      </c>
      <c r="Q61" s="6">
        <v>6.41E-5</v>
      </c>
      <c r="R61" s="6">
        <v>6.1699999999999995E-5</v>
      </c>
      <c r="S61" s="6">
        <v>6.4200000000000002E-5</v>
      </c>
      <c r="T61" s="6">
        <v>6.6000000000000005E-5</v>
      </c>
      <c r="U61" s="6">
        <v>6.7700000000000006E-5</v>
      </c>
      <c r="V61" s="6">
        <v>6.58E-5</v>
      </c>
      <c r="W61" s="6">
        <v>7.1500000000000003E-5</v>
      </c>
      <c r="X61" s="6">
        <v>6.5199999999999999E-5</v>
      </c>
    </row>
    <row r="62" spans="1:24" x14ac:dyDescent="0.2">
      <c r="O62" s="5"/>
      <c r="P62" s="1">
        <v>1000</v>
      </c>
      <c r="Q62" s="1">
        <v>5000</v>
      </c>
      <c r="R62" s="1">
        <v>10000</v>
      </c>
      <c r="S62" s="1">
        <v>20000</v>
      </c>
      <c r="T62" s="1">
        <v>40000</v>
      </c>
      <c r="U62" s="1">
        <v>60000</v>
      </c>
      <c r="V62" s="1">
        <v>80000</v>
      </c>
      <c r="W62" s="1">
        <v>100000</v>
      </c>
      <c r="X62" s="3">
        <v>1000000</v>
      </c>
    </row>
    <row r="63" spans="1:24" x14ac:dyDescent="0.2">
      <c r="A63" s="1" t="s">
        <v>14</v>
      </c>
      <c r="B63" s="1" t="s">
        <v>1</v>
      </c>
      <c r="C63" s="1">
        <v>1000</v>
      </c>
      <c r="D63" s="1">
        <v>5000</v>
      </c>
      <c r="E63" s="1">
        <v>10000</v>
      </c>
      <c r="F63" s="1">
        <v>20000</v>
      </c>
      <c r="G63" s="1">
        <v>40000</v>
      </c>
      <c r="H63" s="1">
        <v>60000</v>
      </c>
      <c r="I63" s="1">
        <v>80000</v>
      </c>
      <c r="J63" s="1">
        <v>100000</v>
      </c>
      <c r="K63" s="3">
        <v>1000000</v>
      </c>
      <c r="O63" s="5" t="s">
        <v>5</v>
      </c>
      <c r="P63" s="6">
        <v>3.8300000000000003E-5</v>
      </c>
      <c r="Q63" s="6">
        <v>4.8000000000000001E-5</v>
      </c>
      <c r="R63" s="6">
        <v>5.0699999999999999E-5</v>
      </c>
      <c r="S63" s="6">
        <v>6.3600000000000001E-5</v>
      </c>
      <c r="T63" s="6">
        <v>5.8999999999999998E-5</v>
      </c>
      <c r="U63" s="6">
        <v>1.0569999999999999E-4</v>
      </c>
      <c r="V63" s="6">
        <v>6.8400000000000009E-5</v>
      </c>
      <c r="W63" s="6">
        <v>8.3100000000000001E-5</v>
      </c>
      <c r="X63" s="6">
        <v>6.7750000000000004E-4</v>
      </c>
    </row>
    <row r="64" spans="1:24" x14ac:dyDescent="0.2">
      <c r="A64" s="10" t="s">
        <v>6</v>
      </c>
      <c r="B64" s="1" t="s">
        <v>2</v>
      </c>
      <c r="C64" s="1">
        <v>10000</v>
      </c>
      <c r="D64" s="1">
        <v>10000</v>
      </c>
      <c r="E64" s="1">
        <v>10000</v>
      </c>
      <c r="F64" s="1">
        <v>10000</v>
      </c>
      <c r="G64" s="1">
        <v>10000</v>
      </c>
      <c r="H64" s="1">
        <v>10000</v>
      </c>
      <c r="I64" s="1">
        <v>10000</v>
      </c>
      <c r="J64" s="1">
        <v>10000</v>
      </c>
      <c r="K64" s="1">
        <v>10000</v>
      </c>
      <c r="O64" s="5" t="s">
        <v>7</v>
      </c>
      <c r="P64" s="6">
        <v>8.4099999999999998E-5</v>
      </c>
      <c r="Q64" s="6">
        <v>1.0640000000000001E-4</v>
      </c>
      <c r="R64" s="6">
        <v>1.0680000000000001E-4</v>
      </c>
      <c r="S64" s="6">
        <v>1.059E-4</v>
      </c>
      <c r="T64" s="6">
        <v>1.078E-4</v>
      </c>
      <c r="U64" s="6">
        <v>1.1020000000000001E-4</v>
      </c>
      <c r="V64" s="6">
        <v>1.042E-4</v>
      </c>
      <c r="W64" s="6">
        <v>1.06E-4</v>
      </c>
      <c r="X64" s="6">
        <v>1.109E-4</v>
      </c>
    </row>
    <row r="65" spans="1:24" x14ac:dyDescent="0.2">
      <c r="A65" s="10"/>
      <c r="B65" s="1" t="s">
        <v>3</v>
      </c>
      <c r="C65" s="1">
        <v>383</v>
      </c>
      <c r="D65" s="1">
        <v>480</v>
      </c>
      <c r="E65" s="1">
        <v>507</v>
      </c>
      <c r="F65" s="1">
        <v>636</v>
      </c>
      <c r="G65" s="1">
        <v>590</v>
      </c>
      <c r="H65" s="1">
        <v>1057</v>
      </c>
      <c r="I65" s="1">
        <v>684</v>
      </c>
      <c r="J65" s="1">
        <v>831</v>
      </c>
      <c r="K65" s="1">
        <v>6775</v>
      </c>
      <c r="O65" s="5"/>
      <c r="P65" s="1">
        <v>1000</v>
      </c>
      <c r="Q65" s="1">
        <v>5000</v>
      </c>
      <c r="R65" s="1">
        <v>10000</v>
      </c>
      <c r="S65" s="1">
        <v>20000</v>
      </c>
      <c r="T65" s="1">
        <v>40000</v>
      </c>
      <c r="U65" s="1">
        <v>60000</v>
      </c>
      <c r="V65" s="1">
        <v>80000</v>
      </c>
      <c r="W65" s="1">
        <v>100000</v>
      </c>
      <c r="X65" s="3">
        <v>1000000</v>
      </c>
    </row>
    <row r="66" spans="1:24" x14ac:dyDescent="0.2">
      <c r="A66" s="10"/>
      <c r="B66" s="1" t="s">
        <v>4</v>
      </c>
      <c r="C66" s="1">
        <f>C65*0.001</f>
        <v>0.38300000000000001</v>
      </c>
      <c r="D66" s="1">
        <f t="shared" ref="D66:J66" si="84">D65*0.001</f>
        <v>0.48</v>
      </c>
      <c r="E66" s="1">
        <f t="shared" si="84"/>
        <v>0.50700000000000001</v>
      </c>
      <c r="F66" s="1">
        <f t="shared" si="84"/>
        <v>0.63600000000000001</v>
      </c>
      <c r="G66" s="1">
        <f t="shared" si="84"/>
        <v>0.59</v>
      </c>
      <c r="H66" s="1">
        <f t="shared" si="84"/>
        <v>1.0569999999999999</v>
      </c>
      <c r="I66" s="1">
        <f t="shared" si="84"/>
        <v>0.68400000000000005</v>
      </c>
      <c r="J66" s="1">
        <f t="shared" si="84"/>
        <v>0.83100000000000007</v>
      </c>
      <c r="K66" s="1">
        <f t="shared" ref="K66" si="85">K65*0.001</f>
        <v>6.7750000000000004</v>
      </c>
      <c r="O66" s="5" t="s">
        <v>5</v>
      </c>
      <c r="P66" s="6">
        <v>3.9200000000000004E-5</v>
      </c>
      <c r="Q66" s="6">
        <v>5.2500000000000002E-5</v>
      </c>
      <c r="R66" s="6">
        <v>5.3300000000000001E-5</v>
      </c>
      <c r="S66" s="6">
        <v>5.9599999999999999E-5</v>
      </c>
      <c r="T66" s="6">
        <v>7.1199999999999996E-5</v>
      </c>
      <c r="U66" s="6">
        <v>6.9300000000000004E-5</v>
      </c>
      <c r="V66" s="6">
        <v>1.3880000000000001E-4</v>
      </c>
      <c r="W66" s="6">
        <v>9.8200000000000002E-5</v>
      </c>
      <c r="X66" s="6">
        <v>6.2759999999999997E-4</v>
      </c>
    </row>
    <row r="67" spans="1:24" x14ac:dyDescent="0.2">
      <c r="A67" s="10"/>
      <c r="B67" s="1" t="s">
        <v>11</v>
      </c>
      <c r="C67" s="2">
        <f>C66/C64</f>
        <v>3.8300000000000003E-5</v>
      </c>
      <c r="D67" s="2">
        <f t="shared" ref="D67:J67" si="86">D66/D64</f>
        <v>4.8000000000000001E-5</v>
      </c>
      <c r="E67" s="2">
        <f t="shared" si="86"/>
        <v>5.0699999999999999E-5</v>
      </c>
      <c r="F67" s="2">
        <f t="shared" si="86"/>
        <v>6.3600000000000001E-5</v>
      </c>
      <c r="G67" s="2">
        <f t="shared" si="86"/>
        <v>5.8999999999999998E-5</v>
      </c>
      <c r="H67" s="2">
        <f t="shared" si="86"/>
        <v>1.0569999999999999E-4</v>
      </c>
      <c r="I67" s="2">
        <f t="shared" si="86"/>
        <v>6.8400000000000009E-5</v>
      </c>
      <c r="J67" s="2">
        <f t="shared" si="86"/>
        <v>8.3100000000000001E-5</v>
      </c>
      <c r="K67" s="2">
        <f t="shared" ref="K67" si="87">K66/K64</f>
        <v>6.7750000000000004E-4</v>
      </c>
      <c r="O67" s="5" t="s">
        <v>7</v>
      </c>
      <c r="P67" s="6">
        <v>8.8900000000000006E-5</v>
      </c>
      <c r="Q67" s="6">
        <v>1.1100000000000001E-4</v>
      </c>
      <c r="R67" s="6">
        <v>1.109E-4</v>
      </c>
      <c r="S67" s="6">
        <v>1.1300000000000001E-4</v>
      </c>
      <c r="T67" s="6">
        <v>1.0520000000000001E-4</v>
      </c>
      <c r="U67" s="6">
        <v>1.1400000000000001E-4</v>
      </c>
      <c r="V67" s="6">
        <v>1.199E-4</v>
      </c>
      <c r="W67" s="6">
        <v>1.1999999999999999E-4</v>
      </c>
      <c r="X67" s="6">
        <v>1.1790000000000001E-4</v>
      </c>
    </row>
    <row r="68" spans="1:24" x14ac:dyDescent="0.2">
      <c r="A68" s="7" t="s">
        <v>8</v>
      </c>
      <c r="B68" s="1" t="s">
        <v>2</v>
      </c>
      <c r="C68" s="1">
        <v>10000</v>
      </c>
      <c r="D68" s="1">
        <v>10000</v>
      </c>
      <c r="E68" s="1">
        <v>10000</v>
      </c>
      <c r="F68" s="1">
        <v>10000</v>
      </c>
      <c r="G68" s="1">
        <v>10000</v>
      </c>
      <c r="H68" s="1">
        <v>10000</v>
      </c>
      <c r="I68" s="1">
        <v>10000</v>
      </c>
      <c r="J68" s="1">
        <v>10000</v>
      </c>
      <c r="K68" s="1">
        <v>10000</v>
      </c>
      <c r="O68" s="5"/>
      <c r="P68" s="1">
        <v>1000</v>
      </c>
      <c r="Q68" s="1">
        <v>5000</v>
      </c>
      <c r="R68" s="1">
        <v>10000</v>
      </c>
      <c r="S68" s="1">
        <v>20000</v>
      </c>
      <c r="T68" s="1">
        <v>40000</v>
      </c>
      <c r="U68" s="1">
        <v>60000</v>
      </c>
      <c r="V68" s="1">
        <v>80000</v>
      </c>
      <c r="W68" s="1">
        <v>100000</v>
      </c>
      <c r="X68" s="3">
        <v>1000000</v>
      </c>
    </row>
    <row r="69" spans="1:24" x14ac:dyDescent="0.2">
      <c r="A69" s="8"/>
      <c r="B69" s="1" t="s">
        <v>3</v>
      </c>
      <c r="C69" s="1">
        <v>841</v>
      </c>
      <c r="D69" s="1">
        <v>1064</v>
      </c>
      <c r="E69" s="1">
        <v>1068</v>
      </c>
      <c r="F69" s="1">
        <v>1059</v>
      </c>
      <c r="G69" s="1">
        <v>1078</v>
      </c>
      <c r="H69" s="1">
        <v>1102</v>
      </c>
      <c r="I69" s="1">
        <v>1042</v>
      </c>
      <c r="J69" s="1">
        <v>1060</v>
      </c>
      <c r="K69" s="1">
        <v>1109</v>
      </c>
      <c r="O69" s="5" t="s">
        <v>5</v>
      </c>
      <c r="P69" s="6">
        <v>3.9700000000000003E-5</v>
      </c>
      <c r="Q69" s="6">
        <v>5.2200000000000002E-5</v>
      </c>
      <c r="R69" s="6">
        <v>6.6000000000000005E-5</v>
      </c>
      <c r="S69" s="6">
        <v>5.8599999999999995E-5</v>
      </c>
      <c r="T69" s="6">
        <v>7.2899999999999997E-5</v>
      </c>
      <c r="U69" s="6">
        <v>7.960000000000001E-5</v>
      </c>
      <c r="V69" s="6">
        <v>9.9400000000000004E-5</v>
      </c>
      <c r="W69" s="6">
        <v>1.225E-4</v>
      </c>
      <c r="X69" s="6">
        <v>7.8929999999999994E-4</v>
      </c>
    </row>
    <row r="70" spans="1:24" x14ac:dyDescent="0.2">
      <c r="A70" s="8"/>
      <c r="B70" s="1" t="s">
        <v>4</v>
      </c>
      <c r="C70" s="1">
        <f>C69*0.001</f>
        <v>0.84099999999999997</v>
      </c>
      <c r="D70" s="1">
        <f t="shared" ref="D70:J70" si="88">D69*0.001</f>
        <v>1.0640000000000001</v>
      </c>
      <c r="E70" s="1">
        <f t="shared" si="88"/>
        <v>1.0680000000000001</v>
      </c>
      <c r="F70" s="1">
        <f t="shared" si="88"/>
        <v>1.0589999999999999</v>
      </c>
      <c r="G70" s="1">
        <f t="shared" si="88"/>
        <v>1.0780000000000001</v>
      </c>
      <c r="H70" s="1">
        <f t="shared" si="88"/>
        <v>1.1020000000000001</v>
      </c>
      <c r="I70" s="1">
        <f t="shared" si="88"/>
        <v>1.042</v>
      </c>
      <c r="J70" s="1">
        <f t="shared" si="88"/>
        <v>1.06</v>
      </c>
      <c r="K70" s="1">
        <f t="shared" ref="K70" si="89">K69*0.001</f>
        <v>1.109</v>
      </c>
      <c r="O70" s="5" t="s">
        <v>7</v>
      </c>
      <c r="P70" s="2">
        <v>8.6500000000000002E-5</v>
      </c>
      <c r="Q70" s="2">
        <v>1.0740000000000001E-4</v>
      </c>
      <c r="R70" s="2">
        <v>1.1959999999999999E-4</v>
      </c>
      <c r="S70" s="2">
        <v>1.159E-4</v>
      </c>
      <c r="T70" s="2">
        <v>1.1570000000000001E-4</v>
      </c>
      <c r="U70" s="2">
        <v>1.1719999999999999E-4</v>
      </c>
      <c r="V70" s="2">
        <v>1.25E-4</v>
      </c>
      <c r="W70" s="2">
        <v>1.1160000000000002E-4</v>
      </c>
      <c r="X70" s="2">
        <v>1.1009999999999999E-4</v>
      </c>
    </row>
    <row r="71" spans="1:24" x14ac:dyDescent="0.2">
      <c r="A71" s="9"/>
      <c r="B71" s="1" t="s">
        <v>11</v>
      </c>
      <c r="C71" s="2">
        <f>C70/C68</f>
        <v>8.4099999999999998E-5</v>
      </c>
      <c r="D71" s="2">
        <f t="shared" ref="D71:J71" si="90">D70/D68</f>
        <v>1.0640000000000001E-4</v>
      </c>
      <c r="E71" s="2">
        <f t="shared" si="90"/>
        <v>1.0680000000000001E-4</v>
      </c>
      <c r="F71" s="2">
        <f t="shared" si="90"/>
        <v>1.059E-4</v>
      </c>
      <c r="G71" s="2">
        <f t="shared" si="90"/>
        <v>1.078E-4</v>
      </c>
      <c r="H71" s="2">
        <f t="shared" si="90"/>
        <v>1.1020000000000001E-4</v>
      </c>
      <c r="I71" s="2">
        <f t="shared" si="90"/>
        <v>1.042E-4</v>
      </c>
      <c r="J71" s="2">
        <f t="shared" si="90"/>
        <v>1.06E-4</v>
      </c>
      <c r="K71" s="2">
        <f t="shared" ref="K71" si="91">K70/K68</f>
        <v>1.109E-4</v>
      </c>
    </row>
    <row r="74" spans="1:24" x14ac:dyDescent="0.2">
      <c r="A74" s="1" t="s">
        <v>15</v>
      </c>
      <c r="B74" s="1" t="s">
        <v>1</v>
      </c>
      <c r="C74" s="1">
        <v>1000</v>
      </c>
      <c r="D74" s="1">
        <v>5000</v>
      </c>
      <c r="E74" s="1">
        <v>10000</v>
      </c>
      <c r="F74" s="1">
        <v>20000</v>
      </c>
      <c r="G74" s="1">
        <v>40000</v>
      </c>
      <c r="H74" s="1">
        <v>60000</v>
      </c>
      <c r="I74" s="1">
        <v>80000</v>
      </c>
      <c r="J74" s="1">
        <v>100000</v>
      </c>
      <c r="K74" s="1">
        <v>1000000</v>
      </c>
    </row>
    <row r="75" spans="1:24" x14ac:dyDescent="0.2">
      <c r="A75" s="10" t="s">
        <v>6</v>
      </c>
      <c r="B75" s="1" t="s">
        <v>2</v>
      </c>
      <c r="C75" s="1">
        <v>10000</v>
      </c>
      <c r="D75" s="1">
        <v>10000</v>
      </c>
      <c r="E75" s="1">
        <v>10000</v>
      </c>
      <c r="F75" s="1">
        <v>10000</v>
      </c>
      <c r="G75" s="1">
        <v>10000</v>
      </c>
      <c r="H75" s="1">
        <v>10000</v>
      </c>
      <c r="I75" s="1">
        <v>10000</v>
      </c>
      <c r="J75" s="1">
        <v>10000</v>
      </c>
      <c r="K75" s="1">
        <v>10000</v>
      </c>
    </row>
    <row r="76" spans="1:24" x14ac:dyDescent="0.2">
      <c r="A76" s="10"/>
      <c r="B76" s="1" t="s">
        <v>3</v>
      </c>
      <c r="C76" s="11">
        <v>392</v>
      </c>
      <c r="D76" s="1">
        <v>525</v>
      </c>
      <c r="E76" s="1">
        <v>533</v>
      </c>
      <c r="F76" s="1">
        <v>596</v>
      </c>
      <c r="G76" s="1">
        <v>712</v>
      </c>
      <c r="H76" s="1">
        <v>693</v>
      </c>
      <c r="I76" s="1">
        <v>1388</v>
      </c>
      <c r="J76" s="1">
        <v>982</v>
      </c>
      <c r="K76" s="1">
        <v>6276</v>
      </c>
    </row>
    <row r="77" spans="1:24" x14ac:dyDescent="0.2">
      <c r="A77" s="10"/>
      <c r="B77" s="1" t="s">
        <v>4</v>
      </c>
      <c r="C77" s="1">
        <f>C76*0.001</f>
        <v>0.39200000000000002</v>
      </c>
      <c r="D77" s="1">
        <f>D76*0.001</f>
        <v>0.52500000000000002</v>
      </c>
      <c r="E77" s="1">
        <f>E76*0.001</f>
        <v>0.53300000000000003</v>
      </c>
      <c r="F77" s="1">
        <f>F76*0.001</f>
        <v>0.59599999999999997</v>
      </c>
      <c r="G77" s="1">
        <f>G76*0.001</f>
        <v>0.71199999999999997</v>
      </c>
      <c r="H77" s="1">
        <f>H76*0.001</f>
        <v>0.69300000000000006</v>
      </c>
      <c r="I77" s="1">
        <f>I76*0.001</f>
        <v>1.3880000000000001</v>
      </c>
      <c r="J77" s="1">
        <f>J76*0.001</f>
        <v>0.98199999999999998</v>
      </c>
      <c r="K77" s="1">
        <f>K76*0.001</f>
        <v>6.2759999999999998</v>
      </c>
    </row>
    <row r="78" spans="1:24" x14ac:dyDescent="0.2">
      <c r="A78" s="10"/>
      <c r="B78" s="1" t="s">
        <v>11</v>
      </c>
      <c r="C78" s="2">
        <f>C77/C75</f>
        <v>3.9200000000000004E-5</v>
      </c>
      <c r="D78" s="2">
        <f>D77/C75</f>
        <v>5.2500000000000002E-5</v>
      </c>
      <c r="E78" s="2">
        <f>E77/D75</f>
        <v>5.3300000000000001E-5</v>
      </c>
      <c r="F78" s="2">
        <f>F77/E75</f>
        <v>5.9599999999999999E-5</v>
      </c>
      <c r="G78" s="2">
        <f>G77/F75</f>
        <v>7.1199999999999996E-5</v>
      </c>
      <c r="H78" s="2">
        <f>H77/G75</f>
        <v>6.9300000000000004E-5</v>
      </c>
      <c r="I78" s="2">
        <f>I77/H75</f>
        <v>1.3880000000000001E-4</v>
      </c>
      <c r="J78" s="2">
        <f>J77/I75</f>
        <v>9.8200000000000002E-5</v>
      </c>
      <c r="K78" s="2">
        <f>K77/J75</f>
        <v>6.2759999999999997E-4</v>
      </c>
    </row>
    <row r="79" spans="1:24" x14ac:dyDescent="0.2">
      <c r="A79" s="7" t="s">
        <v>8</v>
      </c>
      <c r="B79" s="1" t="s">
        <v>2</v>
      </c>
      <c r="C79" s="1">
        <v>10000</v>
      </c>
      <c r="D79" s="1">
        <v>10000</v>
      </c>
      <c r="E79" s="1">
        <v>10000</v>
      </c>
      <c r="F79" s="1">
        <v>10000</v>
      </c>
      <c r="G79" s="1">
        <v>10000</v>
      </c>
      <c r="H79" s="1">
        <v>10000</v>
      </c>
      <c r="I79" s="1">
        <v>10000</v>
      </c>
      <c r="J79" s="1">
        <v>10000</v>
      </c>
      <c r="K79" s="1">
        <v>10000</v>
      </c>
    </row>
    <row r="80" spans="1:24" x14ac:dyDescent="0.2">
      <c r="A80" s="8"/>
      <c r="B80" s="1" t="s">
        <v>3</v>
      </c>
      <c r="C80" s="1">
        <v>889</v>
      </c>
      <c r="D80" s="1">
        <v>1110</v>
      </c>
      <c r="E80" s="1">
        <v>1109</v>
      </c>
      <c r="F80" s="1">
        <v>1130</v>
      </c>
      <c r="G80" s="1">
        <v>1052</v>
      </c>
      <c r="H80" s="1">
        <v>1140</v>
      </c>
      <c r="I80" s="1">
        <v>1199</v>
      </c>
      <c r="J80" s="1">
        <v>1200</v>
      </c>
      <c r="K80" s="1">
        <v>1179</v>
      </c>
    </row>
    <row r="81" spans="1:11" x14ac:dyDescent="0.2">
      <c r="A81" s="8"/>
      <c r="B81" s="1" t="s">
        <v>4</v>
      </c>
      <c r="C81" s="1">
        <f>C80*0.001</f>
        <v>0.88900000000000001</v>
      </c>
      <c r="D81" s="1">
        <f t="shared" ref="D81:J81" si="92">D80*0.001</f>
        <v>1.1100000000000001</v>
      </c>
      <c r="E81" s="1">
        <f t="shared" si="92"/>
        <v>1.109</v>
      </c>
      <c r="F81" s="1">
        <f t="shared" si="92"/>
        <v>1.1300000000000001</v>
      </c>
      <c r="G81" s="1">
        <f t="shared" si="92"/>
        <v>1.052</v>
      </c>
      <c r="H81" s="1">
        <f t="shared" si="92"/>
        <v>1.1400000000000001</v>
      </c>
      <c r="I81" s="1">
        <f t="shared" si="92"/>
        <v>1.1990000000000001</v>
      </c>
      <c r="J81" s="1">
        <f t="shared" si="92"/>
        <v>1.2</v>
      </c>
      <c r="K81" s="1">
        <f t="shared" ref="K81" si="93">K80*0.001</f>
        <v>1.179</v>
      </c>
    </row>
    <row r="82" spans="1:11" x14ac:dyDescent="0.2">
      <c r="A82" s="9"/>
      <c r="B82" s="1" t="s">
        <v>11</v>
      </c>
      <c r="C82" s="2">
        <f>C81/C79</f>
        <v>8.8900000000000006E-5</v>
      </c>
      <c r="D82" s="2">
        <f t="shared" ref="D82:J82" si="94">D81/D79</f>
        <v>1.1100000000000001E-4</v>
      </c>
      <c r="E82" s="2">
        <f t="shared" si="94"/>
        <v>1.109E-4</v>
      </c>
      <c r="F82" s="2">
        <f t="shared" si="94"/>
        <v>1.1300000000000001E-4</v>
      </c>
      <c r="G82" s="2">
        <f t="shared" si="94"/>
        <v>1.0520000000000001E-4</v>
      </c>
      <c r="H82" s="2">
        <f t="shared" si="94"/>
        <v>1.1400000000000001E-4</v>
      </c>
      <c r="I82" s="2">
        <f t="shared" si="94"/>
        <v>1.199E-4</v>
      </c>
      <c r="J82" s="2">
        <f t="shared" si="94"/>
        <v>1.1999999999999999E-4</v>
      </c>
      <c r="K82" s="2">
        <f t="shared" ref="K82" si="95">K81/K79</f>
        <v>1.1790000000000001E-4</v>
      </c>
    </row>
    <row r="88" spans="1:11" x14ac:dyDescent="0.2">
      <c r="A88" s="1" t="s">
        <v>16</v>
      </c>
      <c r="B88" s="1" t="s">
        <v>1</v>
      </c>
      <c r="C88" s="1">
        <v>1000</v>
      </c>
      <c r="D88" s="1">
        <v>5000</v>
      </c>
      <c r="E88" s="1">
        <v>10000</v>
      </c>
      <c r="F88" s="1">
        <v>20000</v>
      </c>
      <c r="G88" s="1">
        <v>40000</v>
      </c>
      <c r="H88" s="1">
        <v>60000</v>
      </c>
      <c r="I88" s="1">
        <v>80000</v>
      </c>
      <c r="J88" s="1">
        <v>100000</v>
      </c>
      <c r="K88" s="1">
        <v>1000000</v>
      </c>
    </row>
    <row r="89" spans="1:11" x14ac:dyDescent="0.2">
      <c r="A89" s="10" t="s">
        <v>6</v>
      </c>
      <c r="B89" s="1" t="s">
        <v>2</v>
      </c>
      <c r="C89" s="1">
        <v>10000</v>
      </c>
      <c r="D89" s="1">
        <v>10000</v>
      </c>
      <c r="E89" s="1">
        <v>10000</v>
      </c>
      <c r="F89" s="1">
        <v>10000</v>
      </c>
      <c r="G89" s="1">
        <v>10000</v>
      </c>
      <c r="H89" s="1">
        <v>10000</v>
      </c>
      <c r="I89" s="1">
        <v>10000</v>
      </c>
      <c r="J89" s="1">
        <v>10000</v>
      </c>
      <c r="K89" s="1">
        <v>10000</v>
      </c>
    </row>
    <row r="90" spans="1:11" x14ac:dyDescent="0.2">
      <c r="A90" s="10"/>
      <c r="B90" s="1" t="s">
        <v>3</v>
      </c>
      <c r="C90" s="1">
        <v>397</v>
      </c>
      <c r="D90" s="1">
        <v>522</v>
      </c>
      <c r="E90" s="1">
        <v>660</v>
      </c>
      <c r="F90" s="1">
        <v>586</v>
      </c>
      <c r="G90" s="1">
        <v>729</v>
      </c>
      <c r="H90" s="1">
        <v>796</v>
      </c>
      <c r="I90" s="1">
        <v>994</v>
      </c>
      <c r="J90" s="1">
        <v>1225</v>
      </c>
      <c r="K90" s="1">
        <v>7893</v>
      </c>
    </row>
    <row r="91" spans="1:11" x14ac:dyDescent="0.2">
      <c r="A91" s="10"/>
      <c r="B91" s="1" t="s">
        <v>4</v>
      </c>
      <c r="C91" s="1">
        <f>C90*0.001</f>
        <v>0.39700000000000002</v>
      </c>
      <c r="D91" s="1">
        <f t="shared" ref="D91:J91" si="96">D90*0.001</f>
        <v>0.52200000000000002</v>
      </c>
      <c r="E91" s="1">
        <f t="shared" si="96"/>
        <v>0.66</v>
      </c>
      <c r="F91" s="1">
        <f t="shared" si="96"/>
        <v>0.58599999999999997</v>
      </c>
      <c r="G91" s="1">
        <f t="shared" si="96"/>
        <v>0.72899999999999998</v>
      </c>
      <c r="H91" s="1">
        <f t="shared" si="96"/>
        <v>0.79600000000000004</v>
      </c>
      <c r="I91" s="1">
        <f t="shared" si="96"/>
        <v>0.99399999999999999</v>
      </c>
      <c r="J91" s="1">
        <f t="shared" si="96"/>
        <v>1.2250000000000001</v>
      </c>
      <c r="K91" s="1">
        <f t="shared" ref="K91" si="97">K90*0.001</f>
        <v>7.8929999999999998</v>
      </c>
    </row>
    <row r="92" spans="1:11" x14ac:dyDescent="0.2">
      <c r="A92" s="10"/>
      <c r="B92" s="1" t="s">
        <v>11</v>
      </c>
      <c r="C92" s="2">
        <f>C91/C89</f>
        <v>3.9700000000000003E-5</v>
      </c>
      <c r="D92" s="2">
        <f t="shared" ref="D92:J92" si="98">D91/D89</f>
        <v>5.2200000000000002E-5</v>
      </c>
      <c r="E92" s="2">
        <f t="shared" si="98"/>
        <v>6.6000000000000005E-5</v>
      </c>
      <c r="F92" s="2">
        <f t="shared" si="98"/>
        <v>5.8599999999999995E-5</v>
      </c>
      <c r="G92" s="2">
        <f t="shared" si="98"/>
        <v>7.2899999999999997E-5</v>
      </c>
      <c r="H92" s="2">
        <f t="shared" si="98"/>
        <v>7.960000000000001E-5</v>
      </c>
      <c r="I92" s="2">
        <f t="shared" si="98"/>
        <v>9.9400000000000004E-5</v>
      </c>
      <c r="J92" s="2">
        <f t="shared" si="98"/>
        <v>1.225E-4</v>
      </c>
      <c r="K92" s="2">
        <f t="shared" ref="K92" si="99">K91/K89</f>
        <v>7.8929999999999994E-4</v>
      </c>
    </row>
    <row r="93" spans="1:11" x14ac:dyDescent="0.2">
      <c r="A93" s="7" t="s">
        <v>8</v>
      </c>
      <c r="B93" s="1" t="s">
        <v>2</v>
      </c>
      <c r="C93" s="1">
        <v>10000</v>
      </c>
      <c r="D93" s="1">
        <v>10000</v>
      </c>
      <c r="E93" s="1">
        <v>10000</v>
      </c>
      <c r="F93" s="1">
        <v>10000</v>
      </c>
      <c r="G93" s="1">
        <v>10000</v>
      </c>
      <c r="H93" s="1">
        <v>10000</v>
      </c>
      <c r="I93" s="1">
        <v>10000</v>
      </c>
      <c r="J93" s="1">
        <v>10000</v>
      </c>
      <c r="K93" s="1">
        <v>10000</v>
      </c>
    </row>
    <row r="94" spans="1:11" x14ac:dyDescent="0.2">
      <c r="A94" s="8"/>
      <c r="B94" s="1" t="s">
        <v>3</v>
      </c>
      <c r="C94" s="1">
        <v>865</v>
      </c>
      <c r="D94" s="1">
        <v>1074</v>
      </c>
      <c r="E94" s="1">
        <v>1196</v>
      </c>
      <c r="F94" s="1">
        <v>1159</v>
      </c>
      <c r="G94" s="1">
        <v>1157</v>
      </c>
      <c r="H94" s="1">
        <v>1172</v>
      </c>
      <c r="I94" s="1">
        <v>1250</v>
      </c>
      <c r="J94" s="1">
        <v>1116</v>
      </c>
      <c r="K94" s="1">
        <v>1101</v>
      </c>
    </row>
    <row r="95" spans="1:11" x14ac:dyDescent="0.2">
      <c r="A95" s="8"/>
      <c r="B95" s="1" t="s">
        <v>4</v>
      </c>
      <c r="C95" s="1">
        <f>C94*0.001</f>
        <v>0.86499999999999999</v>
      </c>
      <c r="D95" s="1">
        <f t="shared" ref="D95:J95" si="100">D94*0.001</f>
        <v>1.0740000000000001</v>
      </c>
      <c r="E95" s="1">
        <f t="shared" si="100"/>
        <v>1.196</v>
      </c>
      <c r="F95" s="1">
        <f t="shared" si="100"/>
        <v>1.159</v>
      </c>
      <c r="G95" s="1">
        <f t="shared" si="100"/>
        <v>1.157</v>
      </c>
      <c r="H95" s="1">
        <f t="shared" si="100"/>
        <v>1.1719999999999999</v>
      </c>
      <c r="I95" s="1">
        <f t="shared" si="100"/>
        <v>1.25</v>
      </c>
      <c r="J95" s="1">
        <f t="shared" si="100"/>
        <v>1.1160000000000001</v>
      </c>
      <c r="K95" s="1">
        <f t="shared" ref="K95" si="101">K94*0.001</f>
        <v>1.101</v>
      </c>
    </row>
    <row r="96" spans="1:11" x14ac:dyDescent="0.2">
      <c r="A96" s="9"/>
      <c r="B96" s="1" t="s">
        <v>11</v>
      </c>
      <c r="C96" s="2">
        <f>C95/C93</f>
        <v>8.6500000000000002E-5</v>
      </c>
      <c r="D96" s="2">
        <f t="shared" ref="D96:J96" si="102">D95/D93</f>
        <v>1.0740000000000001E-4</v>
      </c>
      <c r="E96" s="2">
        <f t="shared" si="102"/>
        <v>1.1959999999999999E-4</v>
      </c>
      <c r="F96" s="2">
        <f t="shared" si="102"/>
        <v>1.159E-4</v>
      </c>
      <c r="G96" s="2">
        <f t="shared" si="102"/>
        <v>1.1570000000000001E-4</v>
      </c>
      <c r="H96" s="2">
        <f t="shared" si="102"/>
        <v>1.1719999999999999E-4</v>
      </c>
      <c r="I96" s="2">
        <f t="shared" si="102"/>
        <v>1.25E-4</v>
      </c>
      <c r="J96" s="2">
        <f t="shared" si="102"/>
        <v>1.1160000000000002E-4</v>
      </c>
      <c r="K96" s="2">
        <f t="shared" ref="K96" si="103">K95/K93</f>
        <v>1.1009999999999999E-4</v>
      </c>
    </row>
  </sheetData>
  <mergeCells count="16">
    <mergeCell ref="A68:A71"/>
    <mergeCell ref="A75:A78"/>
    <mergeCell ref="A79:A82"/>
    <mergeCell ref="A89:A92"/>
    <mergeCell ref="A93:A96"/>
    <mergeCell ref="A39:A42"/>
    <mergeCell ref="A43:A46"/>
    <mergeCell ref="A51:A54"/>
    <mergeCell ref="A55:A58"/>
    <mergeCell ref="A64:A67"/>
    <mergeCell ref="A30:A33"/>
    <mergeCell ref="A2:A5"/>
    <mergeCell ref="A6:A9"/>
    <mergeCell ref="A14:A17"/>
    <mergeCell ref="A18:A21"/>
    <mergeCell ref="A26:A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天杰 徐</cp:lastModifiedBy>
  <dcterms:created xsi:type="dcterms:W3CDTF">2015-06-05T18:19:34Z</dcterms:created>
  <dcterms:modified xsi:type="dcterms:W3CDTF">2025-03-21T05:33:24Z</dcterms:modified>
</cp:coreProperties>
</file>